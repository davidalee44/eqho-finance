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1" i="1" l="1"/>
</calcChain>
</file>

<file path=xl/sharedStrings.xml><?xml version="1.0" encoding="utf-8"?>
<sst xmlns="http://schemas.openxmlformats.org/spreadsheetml/2006/main" count="93" uniqueCount="93">
  <si>
    <t>Profit and Loss by Month</t>
  </si>
  <si>
    <t>Eqho, LLC</t>
  </si>
  <si>
    <t>January 1-November 11, 2025</t>
  </si>
  <si>
    <t>Income</t>
  </si>
  <si>
    <t>40000 Sales</t>
  </si>
  <si>
    <t>40100 Software Sales</t>
  </si>
  <si>
    <t>Total for 40000 Sales</t>
  </si>
  <si>
    <t>Total for Income</t>
  </si>
  <si>
    <t>Cost of Sales</t>
  </si>
  <si>
    <t>50000 COGS</t>
  </si>
  <si>
    <t>50100 COGS – Hosting &amp; Infrastructure</t>
  </si>
  <si>
    <t>50110 Cloud Services</t>
  </si>
  <si>
    <t>Total for 50100 COGS – Hosting &amp; Infrastructure</t>
  </si>
  <si>
    <t>50200 COGS – Software Licensing &amp; APIs</t>
  </si>
  <si>
    <t>50210 Voice AI Provider</t>
  </si>
  <si>
    <t>50220 Transcription</t>
  </si>
  <si>
    <t>50230 LLM</t>
  </si>
  <si>
    <t>50240 Telephony</t>
  </si>
  <si>
    <t>Total for 50200 COGS – Software Licensing &amp; APIs</t>
  </si>
  <si>
    <t>50300 COGS – Payment Processing</t>
  </si>
  <si>
    <t>50320 PayPal Fees (deleted)</t>
  </si>
  <si>
    <t>Total for 50300 COGS – Payment Processing</t>
  </si>
  <si>
    <t>50400 COGS – Technical Support</t>
  </si>
  <si>
    <t>Total for 50000 COGS</t>
  </si>
  <si>
    <t>Total for Cost of Sales</t>
  </si>
  <si>
    <t>Gross Profit</t>
  </si>
  <si>
    <t>Expenses</t>
  </si>
  <si>
    <t>60000 General and Administrative</t>
  </si>
  <si>
    <t>60100 Bank Charges &amp; Fees</t>
  </si>
  <si>
    <t>60300 Accounting fees</t>
  </si>
  <si>
    <t>60400 Legal Fees</t>
  </si>
  <si>
    <t>60500 Other professional Fees</t>
  </si>
  <si>
    <t>60600 Office expenses</t>
  </si>
  <si>
    <t>60610 Merchant account fees</t>
  </si>
  <si>
    <t>60611 PayPal expense (deleted)</t>
  </si>
  <si>
    <t>Total for 60610 Merchant account fees</t>
  </si>
  <si>
    <t>60620 Printing &amp; photocopying</t>
  </si>
  <si>
    <t>60640 Software &amp; apps</t>
  </si>
  <si>
    <t>60650 Office expenses</t>
  </si>
  <si>
    <t>Total for 60600 Office expenses</t>
  </si>
  <si>
    <t>60800 Meals and Entertainment</t>
  </si>
  <si>
    <t>60900 Travel</t>
  </si>
  <si>
    <t>60910 Airfare</t>
  </si>
  <si>
    <t>60920 Hotels</t>
  </si>
  <si>
    <t>60930 Taxis or shared rides</t>
  </si>
  <si>
    <t>60940 Vehicle rental</t>
  </si>
  <si>
    <t>60950 Various travel expenses</t>
  </si>
  <si>
    <t>60960 Travel meals &amp; entertainment</t>
  </si>
  <si>
    <t>Total for 60900 Travel</t>
  </si>
  <si>
    <t>Total for 60000 General and Administrative</t>
  </si>
  <si>
    <t>64000 Labor Costs</t>
  </si>
  <si>
    <t>64500 Contract labor</t>
  </si>
  <si>
    <t>Total for 64000 Labor Costs</t>
  </si>
  <si>
    <t>66000 Occupancy</t>
  </si>
  <si>
    <t>66100 Rent</t>
  </si>
  <si>
    <t>66200 Utilities</t>
  </si>
  <si>
    <t>66240 Internet &amp; TV services</t>
  </si>
  <si>
    <t>66450 Phone service</t>
  </si>
  <si>
    <t>Total for 66200 Utilities</t>
  </si>
  <si>
    <t>66300 Repairs &amp; maintenance</t>
  </si>
  <si>
    <t>Total for 66000 Occupancy</t>
  </si>
  <si>
    <t>68000 Advertising &amp; marketing</t>
  </si>
  <si>
    <t>68100 Ad Spend</t>
  </si>
  <si>
    <t>68110 Social media</t>
  </si>
  <si>
    <t>Total for 68100 Ad Spend</t>
  </si>
  <si>
    <t>68200 Trade Shows</t>
  </si>
  <si>
    <t>Total for 68000 Advertising &amp; marketing</t>
  </si>
  <si>
    <t>Total for Expenses</t>
  </si>
  <si>
    <t>Net Operating Income</t>
  </si>
  <si>
    <t>Other Income</t>
  </si>
  <si>
    <t>Other Expenses</t>
  </si>
  <si>
    <t>71000 Other Business Expense</t>
  </si>
  <si>
    <t>71900 Vehicle expenses</t>
  </si>
  <si>
    <t>71910 Parking &amp; tolls</t>
  </si>
  <si>
    <t>71920 Vehicle gas &amp; fuel</t>
  </si>
  <si>
    <t>Total for 71900 Vehicle expenses</t>
  </si>
  <si>
    <t>Total for Other Expenses</t>
  </si>
  <si>
    <t>Net Other Income</t>
  </si>
  <si>
    <t>Net Income</t>
  </si>
  <si>
    <t>Distribution account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</si>
  <si>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</si>
  <si>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</si>
  <si>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</si>
  <si>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</si>
  <si>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</si>
  <si>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</si>
  <si>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</si>
  <si>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</si>
  <si>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</si>
  <si>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</si>
  <si>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 1 - Nov 11 2025</t>
  </si>
  <si>
    <t>Total</t>
  </si>
  <si>
    <t>Accrual Basis Wednesday, November 12, 2025 03:39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</si>
</sst>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178" fontId="3" fillId="0" borderId="1" xfId="0" applyNumberFormat="1" applyFont="1" applyBorder="1"/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8" fontId="3" fillId="0" borderId="1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M85"/>
  <sheetViews>
    <sheetView tabSelected="1" workbookViewId="0" topLeftCell="A1"/>
  </sheetViews>
  <sheetFormatPr defaultColWidth="11.255" defaultRowHeight="16" outlineLevelRow="4"/>
  <cols>
    <col min="1" max="1" width="41.875" style="50" customWidth="1"/>
    <col min="2" max="3" width="17" style="50" customWidth="1"/>
    <col min="4" max="8" width="16.125" style="50" customWidth="1"/>
    <col min="9" max="9" width="15.25" style="50" customWidth="1"/>
    <col min="10" max="11" width="16.125" style="50" customWidth="1"/>
    <col min="12" max="13" width="17" style="50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1:13" ht="16">
      <c r="A5" s="52" t="s">
        <v>79</v>
      </c>
      <c r="B5" s="52" t="s">
        <v>80</v>
      </c>
      <c r="C5" s="52" t="s">
        <v>81</v>
      </c>
      <c r="D5" s="52" t="s">
        <v>82</v>
      </c>
      <c r="E5" s="52" t="s">
        <v>83</v>
      </c>
      <c r="F5" s="52" t="s">
        <v>84</v>
      </c>
      <c r="G5" s="52" t="s">
        <v>85</v>
      </c>
      <c r="H5" s="52" t="s">
        <v>86</v>
      </c>
      <c r="I5" s="52" t="s">
        <v>87</v>
      </c>
      <c r="J5" s="52" t="s">
        <v>88</v>
      </c>
      <c r="K5" s="52" t="s">
        <v>89</v>
      </c>
      <c r="L5" s="52" t="s">
        <v>90</v>
      </c>
      <c r="M5" s="52" t="s">
        <v>91</v>
      </c>
    </row>
    <row r="6" spans="1:12" ht="16">
      <c r="A6" s="41" t="s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</row>
    <row r="7" spans="1:13" ht="16" outlineLevel="1">
      <c r="A7" s="42" t="s">
        <v>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</row>
    <row r="8" spans="1:13" ht="16" outlineLevel="2">
      <c r="A8" s="43" t="s">
        <v>5</v>
      </c>
      <c r="B8" s="54">
        <v>17480.67</v>
      </c>
      <c r="C8" s="54">
        <v>22160.0</v>
      </c>
      <c r="D8" s="54">
        <v>23500.0</v>
      </c>
      <c r="E8" s="54">
        <v>68050.0</v>
      </c>
      <c r="F8" s="54">
        <v>67067.8</v>
      </c>
      <c r="G8" s="54">
        <v>72736.93</v>
      </c>
      <c r="H8" s="54">
        <v>95751.78</v>
      </c>
      <c r="I8" s="54">
        <v>88971.8</v>
      </c>
      <c r="J8" s="54">
        <v>90201.85</v>
      </c>
      <c r="K8" s="54">
        <v>89469.07</v>
      </c>
      <c r="L8" s="53"/>
      <c r="M8" s="56">
        <v>635389.8999999999</v>
      </c>
    </row>
    <row r="9" spans="1:13" ht="16" outlineLevel="1">
      <c r="A9" s="44" t="s">
        <v>6</v>
      </c>
      <c r="B9" s="55">
        <f>B7+B8</f>
        <v>17480.67</v>
      </c>
      <c r="C9" s="55">
        <f>C7+C8</f>
        <v>22160.0</v>
      </c>
      <c r="D9" s="55">
        <f>D7+D8</f>
        <v>23500.0</v>
      </c>
      <c r="E9" s="55">
        <f>E7+E8</f>
        <v>68050.0</v>
      </c>
      <c r="F9" s="55">
        <f>F7+F8</f>
        <v>67067.8</v>
      </c>
      <c r="G9" s="55">
        <f>G7+G8</f>
        <v>72736.93</v>
      </c>
      <c r="H9" s="55">
        <f>H7+H8</f>
        <v>95751.78</v>
      </c>
      <c r="I9" s="55">
        <f>I7+I8</f>
        <v>88971.8</v>
      </c>
      <c r="J9" s="55">
        <f>J7+J8</f>
        <v>90201.85</v>
      </c>
      <c r="K9" s="55">
        <f>K7+K8</f>
        <v>89469.07</v>
      </c>
      <c r="L9" s="55"/>
      <c r="M9" s="57">
        <v>635389.8999999999</v>
      </c>
    </row>
    <row r="10" spans="1:13" ht="16">
      <c r="A10" s="45" t="s">
        <v>7</v>
      </c>
      <c r="B10" s="55">
        <f>B9</f>
        <v>17480.67</v>
      </c>
      <c r="C10" s="55">
        <f>C9</f>
        <v>22160.0</v>
      </c>
      <c r="D10" s="55">
        <f>D9</f>
        <v>23500.0</v>
      </c>
      <c r="E10" s="55">
        <f>E9</f>
        <v>68050.0</v>
      </c>
      <c r="F10" s="55">
        <f>F9</f>
        <v>67067.8</v>
      </c>
      <c r="G10" s="55">
        <f>G9</f>
        <v>72736.93</v>
      </c>
      <c r="H10" s="55">
        <f>H9</f>
        <v>95751.78</v>
      </c>
      <c r="I10" s="55">
        <f>I9</f>
        <v>88971.8</v>
      </c>
      <c r="J10" s="55">
        <f>J9</f>
        <v>90201.85</v>
      </c>
      <c r="K10" s="55">
        <f>K9</f>
        <v>89469.07</v>
      </c>
      <c r="L10" s="55"/>
      <c r="M10" s="58">
        <v>635389.8999999999</v>
      </c>
    </row>
    <row r="11" spans="1:12" ht="16">
      <c r="A11" s="41" t="s">
        <v>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3" ht="16" outlineLevel="1">
      <c r="A12" s="42" t="s">
        <v>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</row>
    <row r="13" spans="1:13" ht="16" outlineLevel="2">
      <c r="A13" s="43" t="s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</row>
    <row r="14" spans="1:13" ht="16" outlineLevel="3">
      <c r="A14" s="46" t="s">
        <v>11</v>
      </c>
      <c r="B14" s="54">
        <v>8511.39</v>
      </c>
      <c r="C14" s="54">
        <v>7834.83</v>
      </c>
      <c r="D14" s="54">
        <v>13888.8</v>
      </c>
      <c r="E14" s="54">
        <v>12389.3</v>
      </c>
      <c r="F14" s="54">
        <v>13032.68</v>
      </c>
      <c r="G14" s="54">
        <v>15630.17</v>
      </c>
      <c r="H14" s="54">
        <v>16181.76</v>
      </c>
      <c r="I14" s="54">
        <v>26799.88</v>
      </c>
      <c r="J14" s="54">
        <v>13330.75</v>
      </c>
      <c r="K14" s="54">
        <v>16375.03</v>
      </c>
      <c r="L14" s="54">
        <v>17474.02</v>
      </c>
      <c r="M14" s="56">
        <v>161448.61</v>
      </c>
    </row>
    <row r="15" spans="1:13" ht="16" outlineLevel="2">
      <c r="A15" s="47" t="s">
        <v>12</v>
      </c>
      <c r="B15" s="55">
        <f>B13+B14</f>
        <v>8511.39</v>
      </c>
      <c r="C15" s="55">
        <f>C13+C14</f>
        <v>7834.83</v>
      </c>
      <c r="D15" s="55">
        <f>D13+D14</f>
        <v>13888.8</v>
      </c>
      <c r="E15" s="55">
        <f>E13+E14</f>
        <v>12389.3</v>
      </c>
      <c r="F15" s="55">
        <f>F13+F14</f>
        <v>13032.68</v>
      </c>
      <c r="G15" s="55">
        <f>G13+G14</f>
        <v>15630.17</v>
      </c>
      <c r="H15" s="55">
        <f>H13+H14</f>
        <v>16181.76</v>
      </c>
      <c r="I15" s="55">
        <f>I13+I14</f>
        <v>26799.88</v>
      </c>
      <c r="J15" s="55">
        <f>J13+J14</f>
        <v>13330.75</v>
      </c>
      <c r="K15" s="55">
        <f>K13+K14</f>
        <v>16375.03</v>
      </c>
      <c r="L15" s="55">
        <f>L13+L14</f>
        <v>17474.02</v>
      </c>
      <c r="M15" s="58">
        <v>161448.61</v>
      </c>
    </row>
    <row r="16" spans="1:13" ht="16" outlineLevel="2">
      <c r="A16" s="43" t="s">
        <v>13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  <row r="17" spans="1:13" ht="16" outlineLevel="3">
      <c r="A17" s="46" t="s">
        <v>14</v>
      </c>
      <c r="B17" s="54">
        <v>922.11</v>
      </c>
      <c r="C17" s="54">
        <v>1177.42</v>
      </c>
      <c r="D17" s="54">
        <v>2222.18</v>
      </c>
      <c r="E17" s="54">
        <v>2286.06</v>
      </c>
      <c r="F17" s="53"/>
      <c r="G17" s="54">
        <v>3678.21</v>
      </c>
      <c r="H17" s="54">
        <v>9876.76</v>
      </c>
      <c r="I17" s="53"/>
      <c r="J17" s="53"/>
      <c r="K17" s="54">
        <v>4976.98</v>
      </c>
      <c r="L17" s="53"/>
      <c r="M17" s="54">
        <v>25139.719999999998</v>
      </c>
    </row>
    <row r="18" spans="1:13" ht="16" outlineLevel="3">
      <c r="A18" s="46" t="s">
        <v>15</v>
      </c>
      <c r="B18" s="54">
        <v>5000.0</v>
      </c>
      <c r="C18" s="54">
        <v>1258.49</v>
      </c>
      <c r="D18" s="54">
        <v>1258.49</v>
      </c>
      <c r="E18" s="54">
        <v>1258.49</v>
      </c>
      <c r="F18" s="54">
        <v>1258.49</v>
      </c>
      <c r="G18" s="54">
        <v>1258.49</v>
      </c>
      <c r="H18" s="54">
        <v>1258.49</v>
      </c>
      <c r="I18" s="54">
        <v>1258.49</v>
      </c>
      <c r="J18" s="54">
        <v>1258.49</v>
      </c>
      <c r="K18" s="54">
        <v>8.49</v>
      </c>
      <c r="L18" s="53"/>
      <c r="M18" s="54">
        <v>15076.409999999998</v>
      </c>
    </row>
    <row r="19" spans="1:13" ht="16" outlineLevel="3">
      <c r="A19" s="46" t="s">
        <v>16</v>
      </c>
      <c r="B19" s="54">
        <v>2211.53</v>
      </c>
      <c r="C19" s="54">
        <v>1245.19</v>
      </c>
      <c r="D19" s="54">
        <v>4075.18</v>
      </c>
      <c r="E19" s="54">
        <v>2343.93</v>
      </c>
      <c r="F19" s="54">
        <v>4436.33</v>
      </c>
      <c r="G19" s="54">
        <v>7725.43</v>
      </c>
      <c r="H19" s="54">
        <v>5672.55</v>
      </c>
      <c r="I19" s="54">
        <v>1668.89</v>
      </c>
      <c r="J19" s="54">
        <v>7700.91</v>
      </c>
      <c r="K19" s="54">
        <v>8570.88</v>
      </c>
      <c r="L19" s="54">
        <v>1563.37</v>
      </c>
      <c r="M19" s="54">
        <v>47214.19</v>
      </c>
    </row>
    <row r="20" spans="1:13" ht="16" outlineLevel="3">
      <c r="A20" s="46" t="s">
        <v>17</v>
      </c>
      <c r="B20" s="54">
        <v>1734.76</v>
      </c>
      <c r="C20" s="54">
        <v>2561.68</v>
      </c>
      <c r="D20" s="54">
        <v>6622.38</v>
      </c>
      <c r="E20" s="54">
        <v>3347.73</v>
      </c>
      <c r="F20" s="54">
        <v>5348.93</v>
      </c>
      <c r="G20" s="54">
        <v>7307.88</v>
      </c>
      <c r="H20" s="54">
        <v>7183.88</v>
      </c>
      <c r="I20" s="54">
        <v>3051.14</v>
      </c>
      <c r="J20" s="54">
        <v>4851.04</v>
      </c>
      <c r="K20" s="54">
        <v>4455.87</v>
      </c>
      <c r="L20" s="54">
        <v>1119.69</v>
      </c>
      <c r="M20" s="56">
        <v>47584.98</v>
      </c>
    </row>
    <row r="21" spans="1:13" ht="16" outlineLevel="2">
      <c r="A21" s="47" t="s">
        <v>18</v>
      </c>
      <c r="B21" s="55">
        <f>B16+B17+B18+B19+B20</f>
        <v>9868.4</v>
      </c>
      <c r="C21" s="55">
        <f>C16+C17+C18+C19+C20</f>
        <v>6242.78</v>
      </c>
      <c r="D21" s="55">
        <f>D16+D17+D18+D19+D20</f>
        <v>14178.23</v>
      </c>
      <c r="E21" s="55">
        <f>E16+E17+E18+E19+E20</f>
        <v>9236.21</v>
      </c>
      <c r="F21" s="55">
        <f>F16+F17+F18+F19+F20</f>
        <v>11043.75</v>
      </c>
      <c r="G21" s="55">
        <f>G16+G17+G18+G19+G20</f>
        <v>19970.010000000002</v>
      </c>
      <c r="H21" s="55">
        <f>H16+H17+H18+H19+H20</f>
        <v>23991.68</v>
      </c>
      <c r="I21" s="55">
        <f>I16+I17+I18+I19+I20</f>
        <v>5978.52</v>
      </c>
      <c r="J21" s="55">
        <f>J16+J17+J18+J19+J20</f>
        <v>13810.439999999999</v>
      </c>
      <c r="K21" s="55">
        <f>K16+K17+K18+K19+K20</f>
        <v>18012.219999999998</v>
      </c>
      <c r="L21" s="55">
        <f>L16+L17+L18+L19+L20</f>
        <v>2683.06</v>
      </c>
      <c r="M21" s="58">
        <v>135015.3</v>
      </c>
    </row>
    <row r="22" spans="1:13" ht="16" outlineLevel="2">
      <c r="A22" s="43" t="s">
        <v>19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ht="16" outlineLevel="3">
      <c r="A23" s="46" t="s">
        <v>20</v>
      </c>
      <c r="B23" s="53"/>
      <c r="C23" s="54">
        <v>0</v>
      </c>
      <c r="D23" s="53"/>
      <c r="E23" s="53"/>
      <c r="F23" s="53"/>
      <c r="G23" s="53"/>
      <c r="H23" s="53"/>
      <c r="I23" s="53"/>
      <c r="J23" s="53"/>
      <c r="K23" s="53"/>
      <c r="L23" s="53"/>
      <c r="M23" s="54">
        <f>B23+C23+D23+E23+F23+G23+H23+I23+J23+B230+B231</f>
        <v>0.0</v>
      </c>
    </row>
    <row r="24" spans="1:13" ht="16" outlineLevel="2">
      <c r="A24" s="47" t="s">
        <v>21</v>
      </c>
      <c r="B24" s="55"/>
      <c r="C24" s="55">
        <f>C22+C23</f>
        <v>0.0</v>
      </c>
      <c r="D24" s="55"/>
      <c r="E24" s="55"/>
      <c r="F24" s="55"/>
      <c r="G24" s="55"/>
      <c r="H24" s="55"/>
      <c r="I24" s="55"/>
      <c r="J24" s="55"/>
      <c r="K24" s="55"/>
      <c r="L24" s="55"/>
      <c r="M24" s="58">
        <f>B24+C24+D24+E24+F24+G24+H24+I24+J24+B240+B241</f>
        <v>0.0</v>
      </c>
    </row>
    <row r="25" spans="1:13" ht="16" outlineLevel="2">
      <c r="A25" s="43" t="s">
        <v>22</v>
      </c>
      <c r="B25" s="53"/>
      <c r="C25" s="53"/>
      <c r="D25" s="53"/>
      <c r="E25" s="53"/>
      <c r="F25" s="53"/>
      <c r="G25" s="54">
        <v>1500.0</v>
      </c>
      <c r="H25" s="54">
        <v>750.0</v>
      </c>
      <c r="I25" s="54">
        <v>750.0</v>
      </c>
      <c r="J25" s="54">
        <v>750.0</v>
      </c>
      <c r="K25" s="54">
        <v>750.0</v>
      </c>
      <c r="L25" s="53"/>
      <c r="M25" s="56">
        <v>4500.0</v>
      </c>
    </row>
    <row r="26" spans="1:13" ht="16" outlineLevel="1">
      <c r="A26" s="44" t="s">
        <v>23</v>
      </c>
      <c r="B26" s="55">
        <f>B12+B15+B21+B24+B25</f>
        <v>18379.79</v>
      </c>
      <c r="C26" s="55">
        <f>C12+C15+C21+C24+C25</f>
        <v>14077.61</v>
      </c>
      <c r="D26" s="55">
        <f>D12+D15+D21+D24+D25</f>
        <v>28067.03</v>
      </c>
      <c r="E26" s="55">
        <f>E12+E15+E21+E24+E25</f>
        <v>21625.51</v>
      </c>
      <c r="F26" s="55">
        <f>F12+F15+F21+F24+F25</f>
        <v>24076.43</v>
      </c>
      <c r="G26" s="55">
        <f>G12+G15+G21+G24+G25</f>
        <v>37100.18</v>
      </c>
      <c r="H26" s="55">
        <f>H12+H15+H21+H24+H25</f>
        <v>40923.44</v>
      </c>
      <c r="I26" s="55">
        <f>I12+I15+I21+I24+I25</f>
        <v>33528.4</v>
      </c>
      <c r="J26" s="55">
        <f>J12+J15+J21+J24+J25</f>
        <v>27891.19</v>
      </c>
      <c r="K26" s="55">
        <f>K12+K15+K21+K24+K25</f>
        <v>35137.25</v>
      </c>
      <c r="L26" s="55">
        <f>L12+L15+L21+L24+L25</f>
        <v>20157.08</v>
      </c>
      <c r="M26" s="57">
        <v>300963.90999999986</v>
      </c>
    </row>
    <row r="27" spans="1:13" ht="16">
      <c r="A27" s="45" t="s">
        <v>24</v>
      </c>
      <c r="B27" s="55">
        <f>B26</f>
        <v>18379.79</v>
      </c>
      <c r="C27" s="55">
        <f>C26</f>
        <v>14077.61</v>
      </c>
      <c r="D27" s="55">
        <f>D26</f>
        <v>28067.03</v>
      </c>
      <c r="E27" s="55">
        <f>E26</f>
        <v>21625.51</v>
      </c>
      <c r="F27" s="55">
        <f>F26</f>
        <v>24076.43</v>
      </c>
      <c r="G27" s="55">
        <f>G26</f>
        <v>37100.18</v>
      </c>
      <c r="H27" s="55">
        <f>H26</f>
        <v>40923.44</v>
      </c>
      <c r="I27" s="55">
        <f>I26</f>
        <v>33528.4</v>
      </c>
      <c r="J27" s="55">
        <f>J26</f>
        <v>27891.19</v>
      </c>
      <c r="K27" s="55">
        <f>K26</f>
        <v>35137.25</v>
      </c>
      <c r="L27" s="55">
        <f>L26</f>
        <v>20157.08</v>
      </c>
      <c r="M27" s="57">
        <v>300963.90999999986</v>
      </c>
    </row>
    <row r="28" spans="1:13" ht="16">
      <c r="A28" s="45" t="s">
        <v>25</v>
      </c>
      <c r="B28" s="55">
        <f>B10-B27</f>
        <v>-899.1200000000026</v>
      </c>
      <c r="C28" s="55">
        <f>C10-C27</f>
        <v>8082.389999999999</v>
      </c>
      <c r="D28" s="55">
        <f>D10-D27</f>
        <v>-4567.029999999999</v>
      </c>
      <c r="E28" s="55">
        <f>E10-E27</f>
        <v>46424.490000000005</v>
      </c>
      <c r="F28" s="55">
        <f>F10-F27</f>
        <v>42991.37</v>
      </c>
      <c r="G28" s="55">
        <f>G10-G27</f>
        <v>35636.74999999999</v>
      </c>
      <c r="H28" s="55">
        <f>H10-H27</f>
        <v>54828.34</v>
      </c>
      <c r="I28" s="55">
        <f>I10-I27</f>
        <v>55443.4</v>
      </c>
      <c r="J28" s="55">
        <f>J10-J27</f>
        <v>62310.66</v>
      </c>
      <c r="K28" s="55">
        <f>K10-K27</f>
        <v>54331.82000000001</v>
      </c>
      <c r="L28" s="55">
        <f>L10-L27</f>
        <v>-20157.08</v>
      </c>
      <c r="M28" s="58">
        <v>334425.99000000005</v>
      </c>
    </row>
    <row r="29" spans="1:12" ht="16">
      <c r="A29" s="41" t="s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spans="1:13" ht="16" outlineLevel="1">
      <c r="A30" s="42" t="s">
        <v>27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 ht="16" outlineLevel="2">
      <c r="A31" s="43" t="s">
        <v>28</v>
      </c>
      <c r="B31" s="54">
        <v>360.0</v>
      </c>
      <c r="C31" s="54">
        <v>360.0</v>
      </c>
      <c r="D31" s="54">
        <v>240.0</v>
      </c>
      <c r="E31" s="54">
        <v>634.0</v>
      </c>
      <c r="F31" s="54">
        <v>400.0</v>
      </c>
      <c r="G31" s="54">
        <v>440.0</v>
      </c>
      <c r="H31" s="54">
        <v>640.0</v>
      </c>
      <c r="I31" s="54">
        <v>720.0</v>
      </c>
      <c r="J31" s="54">
        <v>609.2</v>
      </c>
      <c r="K31" s="54">
        <v>773.2</v>
      </c>
      <c r="L31" s="54">
        <v>0</v>
      </c>
      <c r="M31" s="54">
        <v>5176.4</v>
      </c>
    </row>
    <row r="32" spans="1:13" ht="16" outlineLevel="2">
      <c r="A32" s="43" t="s">
        <v>29</v>
      </c>
      <c r="B32" s="53"/>
      <c r="C32" s="53"/>
      <c r="D32" s="53"/>
      <c r="E32" s="53"/>
      <c r="F32" s="53"/>
      <c r="G32" s="53"/>
      <c r="H32" s="54">
        <v>5000.0</v>
      </c>
      <c r="I32" s="54">
        <v>2500.0</v>
      </c>
      <c r="J32" s="54">
        <v>2500.0</v>
      </c>
      <c r="K32" s="54">
        <v>2500.0</v>
      </c>
      <c r="L32" s="54">
        <v>2500.0</v>
      </c>
      <c r="M32" s="54">
        <v>15000.0</v>
      </c>
    </row>
    <row r="33" spans="1:13" ht="16" outlineLevel="2">
      <c r="A33" s="43" t="s">
        <v>30</v>
      </c>
      <c r="B33" s="54">
        <v>1800.0</v>
      </c>
      <c r="C33" s="53"/>
      <c r="D33" s="53"/>
      <c r="E33" s="54">
        <v>13438.83</v>
      </c>
      <c r="F33" s="54">
        <v>7209.0</v>
      </c>
      <c r="G33" s="53"/>
      <c r="H33" s="54">
        <v>5184.25</v>
      </c>
      <c r="I33" s="53"/>
      <c r="J33" s="53"/>
      <c r="K33" s="53"/>
      <c r="L33" s="53"/>
      <c r="M33" s="54">
        <f>B33+C33+D33+E33+F33+G33+H33+I33+J33+B330+B331</f>
        <v>27632.08</v>
      </c>
    </row>
    <row r="34" spans="1:13" ht="16" outlineLevel="2">
      <c r="A34" s="43" t="s">
        <v>31</v>
      </c>
      <c r="B34" s="53"/>
      <c r="C34" s="53"/>
      <c r="D34" s="53"/>
      <c r="E34" s="53"/>
      <c r="F34" s="53"/>
      <c r="G34" s="53"/>
      <c r="H34" s="53"/>
      <c r="I34" s="54">
        <v>232.1</v>
      </c>
      <c r="J34" s="54">
        <v>0</v>
      </c>
      <c r="K34" s="53"/>
      <c r="L34" s="53"/>
      <c r="M34" s="54">
        <f>B34+C34+D34+E34+F34+G34+H34+I34+J34+B340+B341</f>
        <v>232.1</v>
      </c>
    </row>
    <row r="35" spans="1:13" ht="16" outlineLevel="2">
      <c r="A35" s="43" t="s">
        <v>32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spans="1:13" ht="16" outlineLevel="3">
      <c r="A36" s="46" t="s">
        <v>33</v>
      </c>
      <c r="B36" s="54">
        <v>643.74</v>
      </c>
      <c r="C36" s="54">
        <v>835.83</v>
      </c>
      <c r="D36" s="54">
        <v>914.23</v>
      </c>
      <c r="E36" s="54">
        <v>2519.93</v>
      </c>
      <c r="F36" s="54">
        <v>2556.62</v>
      </c>
      <c r="G36" s="54">
        <v>2513.16</v>
      </c>
      <c r="H36" s="54">
        <v>3546.55</v>
      </c>
      <c r="I36" s="54">
        <v>3501.17</v>
      </c>
      <c r="J36" s="54">
        <v>2698.28</v>
      </c>
      <c r="K36" s="54">
        <v>4021.26</v>
      </c>
      <c r="L36" s="53"/>
      <c r="M36" s="54">
        <v>23750.769999999997</v>
      </c>
    </row>
    <row r="37" spans="1:13" ht="16" outlineLevel="4">
      <c r="A37" s="48" t="s">
        <v>34</v>
      </c>
      <c r="B37" s="53"/>
      <c r="C37" s="54">
        <v>0</v>
      </c>
      <c r="D37" s="53"/>
      <c r="E37" s="53"/>
      <c r="F37" s="53"/>
      <c r="G37" s="53"/>
      <c r="H37" s="53"/>
      <c r="I37" s="53"/>
      <c r="J37" s="53"/>
      <c r="K37" s="53"/>
      <c r="L37" s="53"/>
      <c r="M37" s="54">
        <f>B37+C37+D37+E37+F37+G37+H37+I37+J37+B370+B371</f>
        <v>0.0</v>
      </c>
    </row>
    <row r="38" spans="1:13" ht="16" outlineLevel="3">
      <c r="A38" s="49" t="s">
        <v>35</v>
      </c>
      <c r="B38" s="55">
        <f>B36+B37</f>
        <v>643.74</v>
      </c>
      <c r="C38" s="55">
        <f>C36+C37</f>
        <v>835.83</v>
      </c>
      <c r="D38" s="55">
        <f>D36+D37</f>
        <v>914.23</v>
      </c>
      <c r="E38" s="55">
        <f>E36+E37</f>
        <v>2519.93</v>
      </c>
      <c r="F38" s="55">
        <f>F36+F37</f>
        <v>2556.62</v>
      </c>
      <c r="G38" s="55">
        <f>G36+G37</f>
        <v>2513.16</v>
      </c>
      <c r="H38" s="55">
        <f>H36+H37</f>
        <v>3546.55</v>
      </c>
      <c r="I38" s="55">
        <f>I36+I37</f>
        <v>3501.17</v>
      </c>
      <c r="J38" s="55">
        <f>J36+J37</f>
        <v>2698.28</v>
      </c>
      <c r="K38" s="55">
        <f>K36+K37</f>
        <v>4021.26</v>
      </c>
      <c r="L38" s="55"/>
      <c r="M38" s="58">
        <v>23750.769999999997</v>
      </c>
    </row>
    <row r="39" spans="1:13" ht="16" outlineLevel="3">
      <c r="A39" s="46" t="s">
        <v>36</v>
      </c>
      <c r="B39" s="53"/>
      <c r="C39" s="53"/>
      <c r="D39" s="53"/>
      <c r="E39" s="54">
        <v>300.23</v>
      </c>
      <c r="F39" s="53"/>
      <c r="G39" s="53"/>
      <c r="H39" s="53"/>
      <c r="I39" s="53"/>
      <c r="J39" s="53"/>
      <c r="K39" s="53"/>
      <c r="L39" s="53"/>
      <c r="M39" s="54">
        <f>B39+C39+D39+E39+F39+G39+H39+I39+J39+B390+B391</f>
        <v>300.23</v>
      </c>
    </row>
    <row r="40" spans="1:13" ht="16" outlineLevel="3">
      <c r="A40" s="46" t="s">
        <v>37</v>
      </c>
      <c r="B40" s="54">
        <v>4871.57</v>
      </c>
      <c r="C40" s="54">
        <v>5599.67</v>
      </c>
      <c r="D40" s="54">
        <v>5906.16</v>
      </c>
      <c r="E40" s="54">
        <v>6899.52</v>
      </c>
      <c r="F40" s="54">
        <v>8607.35</v>
      </c>
      <c r="G40" s="54">
        <v>7076.29</v>
      </c>
      <c r="H40" s="54">
        <v>10554.47</v>
      </c>
      <c r="I40" s="54">
        <v>8568.93</v>
      </c>
      <c r="J40" s="54">
        <v>9206.65</v>
      </c>
      <c r="K40" s="54">
        <v>13040.44</v>
      </c>
      <c r="L40" s="54">
        <v>134.36</v>
      </c>
      <c r="M40" s="54">
        <v>80465.41</v>
      </c>
    </row>
    <row r="41" spans="1:13" ht="16" outlineLevel="3">
      <c r="A41" s="46" t="s">
        <v>38</v>
      </c>
      <c r="B41" s="53"/>
      <c r="C41" s="53"/>
      <c r="D41" s="53"/>
      <c r="E41" s="53"/>
      <c r="F41" s="53"/>
      <c r="G41" s="53"/>
      <c r="H41" s="53"/>
      <c r="I41" s="54">
        <v>46.25</v>
      </c>
      <c r="J41" s="54">
        <v>2615.5</v>
      </c>
      <c r="K41" s="54">
        <v>274.19</v>
      </c>
      <c r="L41" s="53"/>
      <c r="M41" s="56">
        <v>2935.94</v>
      </c>
    </row>
    <row r="42" spans="1:13" ht="16" outlineLevel="2">
      <c r="A42" s="47" t="s">
        <v>39</v>
      </c>
      <c r="B42" s="55">
        <f>B35+B38+B39+B40+B41</f>
        <v>5515.3099999999995</v>
      </c>
      <c r="C42" s="55">
        <f>C35+C38+C39+C40+C41</f>
        <v>6435.5</v>
      </c>
      <c r="D42" s="55">
        <f>D35+D38+D39+D40+D41</f>
        <v>6820.389999999999</v>
      </c>
      <c r="E42" s="55">
        <f>E35+E38+E39+E40+E41</f>
        <v>9719.68</v>
      </c>
      <c r="F42" s="55">
        <f>F35+F38+F39+F40+F41</f>
        <v>11163.970000000001</v>
      </c>
      <c r="G42" s="55">
        <f>G35+G38+G39+G40+G41</f>
        <v>9589.45</v>
      </c>
      <c r="H42" s="55">
        <f>H35+H38+H39+H40+H41</f>
        <v>14101.02</v>
      </c>
      <c r="I42" s="55">
        <f>I35+I38+I39+I40+I41</f>
        <v>12116.35</v>
      </c>
      <c r="J42" s="55">
        <f>J35+J38+J39+J40+J41</f>
        <v>14520.43</v>
      </c>
      <c r="K42" s="55">
        <f>K35+K38+K39+K40+K41</f>
        <v>17335.89</v>
      </c>
      <c r="L42" s="55">
        <f>L35+L38+L39+L40+L41</f>
        <v>134.36</v>
      </c>
      <c r="M42" s="58">
        <v>107452.34999999999</v>
      </c>
    </row>
    <row r="43" spans="1:13" ht="16" outlineLevel="2">
      <c r="A43" s="43" t="s">
        <v>40</v>
      </c>
      <c r="B43" s="54">
        <v>172.41</v>
      </c>
      <c r="C43" s="54">
        <v>144.58</v>
      </c>
      <c r="D43" s="53"/>
      <c r="E43" s="54">
        <v>125.08</v>
      </c>
      <c r="F43" s="54">
        <v>91.17</v>
      </c>
      <c r="G43" s="54">
        <v>117.8</v>
      </c>
      <c r="H43" s="54">
        <v>336.21</v>
      </c>
      <c r="I43" s="54">
        <v>255.9</v>
      </c>
      <c r="J43" s="54">
        <v>933.84</v>
      </c>
      <c r="K43" s="54">
        <v>1572.66</v>
      </c>
      <c r="L43" s="54">
        <v>23.4</v>
      </c>
      <c r="M43" s="54">
        <v>3773.0500000000006</v>
      </c>
    </row>
    <row r="44" spans="1:13" ht="16" outlineLevel="2">
      <c r="A44" s="43" t="s">
        <v>41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spans="1:13" ht="16" outlineLevel="3">
      <c r="A45" s="46" t="s">
        <v>42</v>
      </c>
      <c r="B45" s="54">
        <v>418.37</v>
      </c>
      <c r="C45" s="54">
        <v>514.97</v>
      </c>
      <c r="D45" s="53"/>
      <c r="E45" s="53"/>
      <c r="F45" s="53"/>
      <c r="G45" s="53"/>
      <c r="H45" s="53"/>
      <c r="I45" s="54">
        <v>1191.1</v>
      </c>
      <c r="J45" s="54">
        <v>1531.73</v>
      </c>
      <c r="K45" s="53"/>
      <c r="L45" s="53"/>
      <c r="M45" s="54">
        <f>B45+C45+D45+E45+F45+G45+H45+I45+J45+B450+B451</f>
        <v>3656.17</v>
      </c>
    </row>
    <row r="46" spans="1:13" ht="16" outlineLevel="3">
      <c r="A46" s="46" t="s">
        <v>43</v>
      </c>
      <c r="B46" s="54">
        <v>350.34</v>
      </c>
      <c r="C46" s="54">
        <v>1265.82</v>
      </c>
      <c r="D46" s="54">
        <v>-350.34</v>
      </c>
      <c r="E46" s="54">
        <v>1984.73</v>
      </c>
      <c r="F46" s="54">
        <v>846.51</v>
      </c>
      <c r="G46" s="53"/>
      <c r="H46" s="54">
        <v>1087.0</v>
      </c>
      <c r="I46" s="54">
        <v>1227.09</v>
      </c>
      <c r="J46" s="53"/>
      <c r="K46" s="54">
        <v>438.91</v>
      </c>
      <c r="L46" s="53"/>
      <c r="M46" s="54">
        <v>6850.06</v>
      </c>
    </row>
    <row r="47" spans="1:13" ht="16" outlineLevel="3">
      <c r="A47" s="46" t="s">
        <v>44</v>
      </c>
      <c r="B47" s="53"/>
      <c r="C47" s="54">
        <v>168.88</v>
      </c>
      <c r="D47" s="53"/>
      <c r="E47" s="54">
        <v>49.81</v>
      </c>
      <c r="F47" s="53"/>
      <c r="G47" s="53"/>
      <c r="H47" s="53"/>
      <c r="I47" s="54">
        <v>302.22</v>
      </c>
      <c r="J47" s="54">
        <v>128.16</v>
      </c>
      <c r="K47" s="53"/>
      <c r="L47" s="53"/>
      <c r="M47" s="54">
        <f>B47+C47+D47+E47+F47+G47+H47+I47+J47+B470+B471</f>
        <v>649.07</v>
      </c>
    </row>
    <row r="48" spans="1:13" ht="16" outlineLevel="3">
      <c r="A48" s="46" t="s">
        <v>45</v>
      </c>
      <c r="B48" s="53"/>
      <c r="C48" s="53"/>
      <c r="D48" s="53"/>
      <c r="E48" s="53"/>
      <c r="F48" s="53"/>
      <c r="G48" s="53"/>
      <c r="H48" s="53"/>
      <c r="I48" s="53"/>
      <c r="J48" s="53"/>
      <c r="K48" s="54">
        <v>119.66</v>
      </c>
      <c r="L48" s="53"/>
      <c r="M48" s="54">
        <v>119.66</v>
      </c>
    </row>
    <row r="49" spans="1:13" ht="16" outlineLevel="3">
      <c r="A49" s="46" t="s">
        <v>46</v>
      </c>
      <c r="B49" s="53"/>
      <c r="C49" s="53"/>
      <c r="D49" s="53"/>
      <c r="E49" s="53"/>
      <c r="F49" s="54">
        <v>756.76</v>
      </c>
      <c r="G49" s="53"/>
      <c r="H49" s="53"/>
      <c r="I49" s="54">
        <v>1160.87</v>
      </c>
      <c r="J49" s="54">
        <v>5.0</v>
      </c>
      <c r="K49" s="53"/>
      <c r="L49" s="53"/>
      <c r="M49" s="54">
        <f>B49+C49+D49+E49+F49+G49+H49+I49+J49+B490+B491</f>
        <v>1922.6299999999999</v>
      </c>
    </row>
    <row r="50" spans="1:13" ht="16" outlineLevel="3">
      <c r="A50" s="46" t="s">
        <v>47</v>
      </c>
      <c r="B50" s="53"/>
      <c r="C50" s="54">
        <v>1185.8</v>
      </c>
      <c r="D50" s="53"/>
      <c r="E50" s="54">
        <v>2480.3</v>
      </c>
      <c r="F50" s="53"/>
      <c r="G50" s="53"/>
      <c r="H50" s="53"/>
      <c r="I50" s="54">
        <v>792.52</v>
      </c>
      <c r="J50" s="54">
        <v>12.35</v>
      </c>
      <c r="K50" s="54">
        <v>296.95</v>
      </c>
      <c r="L50" s="53"/>
      <c r="M50" s="56">
        <v>4767.920000000001</v>
      </c>
    </row>
    <row r="51" spans="1:13" ht="16" outlineLevel="2">
      <c r="A51" s="47" t="s">
        <v>48</v>
      </c>
      <c r="B51" s="55">
        <f>B44+B45+B46+B47+B48+B49+B50</f>
        <v>768.71</v>
      </c>
      <c r="C51" s="55">
        <f>C44+C45+C46+C47+C48+C49+C50</f>
        <v>3135.4700000000003</v>
      </c>
      <c r="D51" s="55">
        <f>D44+D45+D46+D47+D48+D49+D50</f>
        <v>-350.34</v>
      </c>
      <c r="E51" s="55">
        <f>E44+E45+E46+E47+E48+E49+E50</f>
        <v>4514.84</v>
      </c>
      <c r="F51" s="55">
        <f>F44+F45+F46+F47+F48+F49+F50</f>
        <v>1603.27</v>
      </c>
      <c r="G51" s="55"/>
      <c r="H51" s="55">
        <f>H44+H45+H46+H47+H48+H49+H50</f>
        <v>1087.0</v>
      </c>
      <c r="I51" s="55">
        <f>I44+I45+I46+I47+I48+I49+I50</f>
        <v>4673.799999999999</v>
      </c>
      <c r="J51" s="55">
        <f>J44+J45+J46+J47+J48+J49+J50</f>
        <v>1677.24</v>
      </c>
      <c r="K51" s="55">
        <f>K44+K45+K46+K47+K48+K49+K50</f>
        <v>855.52</v>
      </c>
      <c r="L51" s="55"/>
      <c r="M51" s="57">
        <v>17965.509999999995</v>
      </c>
    </row>
    <row r="52" spans="1:13" ht="16" outlineLevel="1">
      <c r="A52" s="44" t="s">
        <v>49</v>
      </c>
      <c r="B52" s="55">
        <f>B30+B31+B32+B33+B34+B42+B43+B51</f>
        <v>8616.43</v>
      </c>
      <c r="C52" s="55">
        <f>C30+C31+C32+C33+C34+C42+C43+C51</f>
        <v>10075.55</v>
      </c>
      <c r="D52" s="55">
        <f>D30+D31+D32+D33+D34+D42+D43+D51</f>
        <v>6710.049999999999</v>
      </c>
      <c r="E52" s="55">
        <f>E30+E31+E32+E33+E34+E42+E43+E51</f>
        <v>28432.430000000004</v>
      </c>
      <c r="F52" s="55">
        <f>F30+F31+F32+F33+F34+F42+F43+F51</f>
        <v>20467.41</v>
      </c>
      <c r="G52" s="55">
        <f>G30+G31+G32+G33+G34+G42+G43+G51</f>
        <v>10147.25</v>
      </c>
      <c r="H52" s="55">
        <f>H30+H31+H32+H33+H34+H42+H43+H51</f>
        <v>26348.48</v>
      </c>
      <c r="I52" s="55">
        <f>I30+I31+I32+I33+I34+I42+I43+I51</f>
        <v>20498.15</v>
      </c>
      <c r="J52" s="55">
        <f>J30+J31+J32+J33+J34+J42+J43+J51</f>
        <v>20240.710000000003</v>
      </c>
      <c r="K52" s="55">
        <f>K30+K31+K32+K33+K34+K42+K43+K51</f>
        <v>23037.27</v>
      </c>
      <c r="L52" s="55">
        <f>L30+L31+L32+L33+L34+L42+L43+L51</f>
        <v>2657.76</v>
      </c>
      <c r="M52" s="58">
        <v>177231.49</v>
      </c>
    </row>
    <row r="53" spans="1:13" ht="16" outlineLevel="1">
      <c r="A53" s="42" t="s">
        <v>50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spans="1:13" ht="16" outlineLevel="2">
      <c r="A54" s="43" t="s">
        <v>51</v>
      </c>
      <c r="B54" s="54">
        <v>41684.43</v>
      </c>
      <c r="C54" s="54">
        <v>60363.16</v>
      </c>
      <c r="D54" s="54">
        <v>68381.97</v>
      </c>
      <c r="E54" s="54">
        <v>72855.59</v>
      </c>
      <c r="F54" s="54">
        <v>82805.19</v>
      </c>
      <c r="G54" s="54">
        <v>79041.31</v>
      </c>
      <c r="H54" s="54">
        <v>92706.33</v>
      </c>
      <c r="I54" s="54">
        <v>88080.32</v>
      </c>
      <c r="J54" s="54">
        <v>108372.56</v>
      </c>
      <c r="K54" s="54">
        <v>124272.03</v>
      </c>
      <c r="L54" s="54">
        <v>2241.0</v>
      </c>
      <c r="M54" s="56">
        <v>820803.8900000001</v>
      </c>
    </row>
    <row r="55" spans="1:13" ht="16" outlineLevel="1">
      <c r="A55" s="44" t="s">
        <v>52</v>
      </c>
      <c r="B55" s="55">
        <f>B53+B54</f>
        <v>41684.43</v>
      </c>
      <c r="C55" s="55">
        <f>C53+C54</f>
        <v>60363.16</v>
      </c>
      <c r="D55" s="55">
        <f>D53+D54</f>
        <v>68381.97</v>
      </c>
      <c r="E55" s="55">
        <f>E53+E54</f>
        <v>72855.59</v>
      </c>
      <c r="F55" s="55">
        <f>F53+F54</f>
        <v>82805.19</v>
      </c>
      <c r="G55" s="55">
        <f>G53+G54</f>
        <v>79041.31</v>
      </c>
      <c r="H55" s="55">
        <f>H53+H54</f>
        <v>92706.33</v>
      </c>
      <c r="I55" s="55">
        <f>I53+I54</f>
        <v>88080.32</v>
      </c>
      <c r="J55" s="55">
        <f>J53+J54</f>
        <v>108372.56</v>
      </c>
      <c r="K55" s="55">
        <f>K53+K54</f>
        <v>124272.03</v>
      </c>
      <c r="L55" s="55">
        <f>L53+L54</f>
        <v>2241.0</v>
      </c>
      <c r="M55" s="58">
        <v>820803.8900000001</v>
      </c>
    </row>
    <row r="56" spans="1:13" ht="16" outlineLevel="1">
      <c r="A56" s="42" t="s">
        <v>53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spans="1:13" ht="16" outlineLevel="2">
      <c r="A57" s="43" t="s">
        <v>54</v>
      </c>
      <c r="B57" s="54">
        <v>356.84</v>
      </c>
      <c r="C57" s="54">
        <v>257.25</v>
      </c>
      <c r="D57" s="54">
        <v>257.25</v>
      </c>
      <c r="E57" s="54">
        <v>514.5</v>
      </c>
      <c r="F57" s="54">
        <v>565.95</v>
      </c>
      <c r="G57" s="54">
        <v>565.95</v>
      </c>
      <c r="H57" s="54">
        <v>514.5</v>
      </c>
      <c r="I57" s="54">
        <v>1120.27</v>
      </c>
      <c r="J57" s="54">
        <v>3711.38</v>
      </c>
      <c r="K57" s="54">
        <v>4784.85</v>
      </c>
      <c r="L57" s="54">
        <v>4784.85</v>
      </c>
      <c r="M57" s="54">
        <v>17433.590000000004</v>
      </c>
    </row>
    <row r="58" spans="1:13" ht="16" outlineLevel="2">
      <c r="A58" s="43" t="s">
        <v>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spans="1:13" ht="16" outlineLevel="3">
      <c r="A59" s="46" t="s">
        <v>56</v>
      </c>
      <c r="B59" s="53"/>
      <c r="C59" s="53"/>
      <c r="D59" s="53"/>
      <c r="E59" s="53"/>
      <c r="F59" s="53"/>
      <c r="G59" s="53"/>
      <c r="H59" s="53"/>
      <c r="I59" s="53"/>
      <c r="J59" s="54">
        <v>6.99</v>
      </c>
      <c r="K59" s="54">
        <v>665.17</v>
      </c>
      <c r="L59" s="54">
        <v>623.7</v>
      </c>
      <c r="M59" s="54">
        <v>1295.8600000000001</v>
      </c>
    </row>
    <row r="60" spans="1:13" ht="16" outlineLevel="3">
      <c r="A60" s="46" t="s">
        <v>57</v>
      </c>
      <c r="B60" s="53"/>
      <c r="C60" s="53"/>
      <c r="D60" s="53"/>
      <c r="E60" s="53"/>
      <c r="F60" s="53"/>
      <c r="G60" s="53"/>
      <c r="H60" s="53"/>
      <c r="I60" s="54">
        <v>296.57</v>
      </c>
      <c r="J60" s="53"/>
      <c r="K60" s="54">
        <v>35.4</v>
      </c>
      <c r="L60" s="53"/>
      <c r="M60" s="56">
        <v>331.96999999999997</v>
      </c>
    </row>
    <row r="61" spans="1:13" ht="16" outlineLevel="2">
      <c r="A61" s="47" t="s">
        <v>58</v>
      </c>
      <c r="B61" s="55"/>
      <c r="C61" s="55"/>
      <c r="D61" s="55"/>
      <c r="E61" s="55"/>
      <c r="F61" s="55"/>
      <c r="G61" s="55"/>
      <c r="H61" s="55"/>
      <c r="I61" s="55">
        <f>I58+I59+I60</f>
        <v>296.57</v>
      </c>
      <c r="J61" s="55">
        <f>J58+J59+J60</f>
        <v>6.99</v>
      </c>
      <c r="K61" s="55">
        <f>K58+K59+K60</f>
        <v>700.5699999999999</v>
      </c>
      <c r="L61" s="55">
        <f>L58+L59+L60</f>
        <v>623.7</v>
      </c>
      <c r="M61" s="58">
        <v>1627.8300000000002</v>
      </c>
    </row>
    <row r="62" spans="1:13" ht="16" outlineLevel="2">
      <c r="A62" s="43" t="s">
        <v>59</v>
      </c>
      <c r="B62" s="53"/>
      <c r="C62" s="53"/>
      <c r="D62" s="53"/>
      <c r="E62" s="53"/>
      <c r="F62" s="53"/>
      <c r="G62" s="53"/>
      <c r="H62" s="53"/>
      <c r="I62" s="53"/>
      <c r="J62" s="54">
        <v>10.73</v>
      </c>
      <c r="K62" s="53"/>
      <c r="L62" s="53"/>
      <c r="M62" s="54">
        <f>B62+C62+D62+E62+F62+G62+H62+I62+J62+B620+B621</f>
        <v>10.73</v>
      </c>
    </row>
    <row r="63" spans="1:13" ht="16" outlineLevel="1">
      <c r="A63" s="44" t="s">
        <v>60</v>
      </c>
      <c r="B63" s="55">
        <f>B56+B57+B61+B62</f>
        <v>356.84</v>
      </c>
      <c r="C63" s="55">
        <f>C56+C57+C61+C62</f>
        <v>257.25</v>
      </c>
      <c r="D63" s="55">
        <f>D56+D57+D61+D62</f>
        <v>257.25</v>
      </c>
      <c r="E63" s="55">
        <f>E56+E57+E61+E62</f>
        <v>514.5</v>
      </c>
      <c r="F63" s="55">
        <f>F56+F57+F61+F62</f>
        <v>565.95</v>
      </c>
      <c r="G63" s="55">
        <f>G56+G57+G61+G62</f>
        <v>565.95</v>
      </c>
      <c r="H63" s="55">
        <f>H56+H57+H61+H62</f>
        <v>514.5</v>
      </c>
      <c r="I63" s="55">
        <f>I56+I57+I61+I62</f>
        <v>1416.84</v>
      </c>
      <c r="J63" s="55">
        <f>J56+J57+J61+J62</f>
        <v>3729.1</v>
      </c>
      <c r="K63" s="55">
        <f>K56+K57+K61+K62</f>
        <v>5485.42</v>
      </c>
      <c r="L63" s="55">
        <f>L56+L57+L61+L62</f>
        <v>5408.55</v>
      </c>
      <c r="M63" s="58">
        <v>19072.150000000005</v>
      </c>
    </row>
    <row r="64" spans="1:13" ht="16" outlineLevel="1">
      <c r="A64" s="42" t="s">
        <v>61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spans="1:13" ht="16" outlineLevel="2">
      <c r="A65" s="43" t="s">
        <v>62</v>
      </c>
      <c r="B65" s="53"/>
      <c r="C65" s="53"/>
      <c r="D65" s="53"/>
      <c r="E65" s="53"/>
      <c r="F65" s="53"/>
      <c r="G65" s="54">
        <v>685.0</v>
      </c>
      <c r="H65" s="53"/>
      <c r="I65" s="54">
        <v>1535.84</v>
      </c>
      <c r="J65" s="54">
        <v>1000.0</v>
      </c>
      <c r="K65" s="54">
        <v>1000.0</v>
      </c>
      <c r="L65" s="54">
        <v>1000.0</v>
      </c>
      <c r="M65" s="54">
        <v>5220.84</v>
      </c>
    </row>
    <row r="66" spans="1:13" ht="16" outlineLevel="3">
      <c r="A66" s="46" t="s">
        <v>63</v>
      </c>
      <c r="B66" s="54">
        <v>296.62</v>
      </c>
      <c r="C66" s="53"/>
      <c r="D66" s="53"/>
      <c r="E66" s="54">
        <v>635.0</v>
      </c>
      <c r="F66" s="54">
        <v>1663.67</v>
      </c>
      <c r="G66" s="54">
        <v>1842.51</v>
      </c>
      <c r="H66" s="54">
        <v>2706.19</v>
      </c>
      <c r="I66" s="54">
        <v>5460.26</v>
      </c>
      <c r="J66" s="54">
        <v>16943.37</v>
      </c>
      <c r="K66" s="54">
        <v>17118.75</v>
      </c>
      <c r="L66" s="54">
        <v>4500.0</v>
      </c>
      <c r="M66" s="56">
        <v>51166.369999999995</v>
      </c>
    </row>
    <row r="67" spans="1:13" ht="16" outlineLevel="2">
      <c r="A67" s="47" t="s">
        <v>64</v>
      </c>
      <c r="B67" s="55">
        <f>B65+B66</f>
        <v>296.62</v>
      </c>
      <c r="C67" s="55"/>
      <c r="D67" s="55"/>
      <c r="E67" s="55">
        <f>E65+E66</f>
        <v>635.0</v>
      </c>
      <c r="F67" s="55">
        <f>F65+F66</f>
        <v>1663.67</v>
      </c>
      <c r="G67" s="55">
        <f>G65+G66</f>
        <v>2527.51</v>
      </c>
      <c r="H67" s="55">
        <f>H65+H66</f>
        <v>2706.19</v>
      </c>
      <c r="I67" s="55">
        <f>I65+I66</f>
        <v>6996.1</v>
      </c>
      <c r="J67" s="55">
        <f>J65+J66</f>
        <v>17943.37</v>
      </c>
      <c r="K67" s="55">
        <f>K65+K66</f>
        <v>18118.75</v>
      </c>
      <c r="L67" s="55">
        <f>L65+L66</f>
        <v>5500.0</v>
      </c>
      <c r="M67" s="58">
        <v>56387.20999999999</v>
      </c>
    </row>
    <row r="68" spans="1:13" ht="16" outlineLevel="2">
      <c r="A68" s="43" t="s">
        <v>65</v>
      </c>
      <c r="B68" s="53"/>
      <c r="C68" s="54">
        <v>1199.0</v>
      </c>
      <c r="D68" s="53"/>
      <c r="E68" s="54">
        <v>113.69</v>
      </c>
      <c r="F68" s="53"/>
      <c r="G68" s="53"/>
      <c r="H68" s="53"/>
      <c r="I68" s="54">
        <v>2000.0</v>
      </c>
      <c r="J68" s="53"/>
      <c r="K68" s="54">
        <v>500.0</v>
      </c>
      <c r="L68" s="53"/>
      <c r="M68" s="56">
        <v>3812.69</v>
      </c>
    </row>
    <row r="69" spans="1:13" ht="16" outlineLevel="1">
      <c r="A69" s="44" t="s">
        <v>66</v>
      </c>
      <c r="B69" s="55">
        <f>B64+B67+B68</f>
        <v>296.62</v>
      </c>
      <c r="C69" s="55">
        <f>C64+C67+C68</f>
        <v>1199.0</v>
      </c>
      <c r="D69" s="55"/>
      <c r="E69" s="55">
        <f>E64+E67+E68</f>
        <v>748.69</v>
      </c>
      <c r="F69" s="55">
        <f>F64+F67+F68</f>
        <v>1663.67</v>
      </c>
      <c r="G69" s="55">
        <f>G64+G67+G68</f>
        <v>2527.51</v>
      </c>
      <c r="H69" s="55">
        <f>H64+H67+H68</f>
        <v>2706.19</v>
      </c>
      <c r="I69" s="55">
        <f>I64+I67+I68</f>
        <v>8996.1</v>
      </c>
      <c r="J69" s="55">
        <f>J64+J67+J68</f>
        <v>17943.37</v>
      </c>
      <c r="K69" s="55">
        <f>K64+K67+K68</f>
        <v>18618.75</v>
      </c>
      <c r="L69" s="55">
        <f>L64+L67+L68</f>
        <v>5500.0</v>
      </c>
      <c r="M69" s="57">
        <v>60199.9</v>
      </c>
    </row>
    <row r="70" spans="1:13" ht="16">
      <c r="A70" s="45" t="s">
        <v>67</v>
      </c>
      <c r="B70" s="55">
        <f>B52+B55+B63+B69</f>
        <v>50954.32</v>
      </c>
      <c r="C70" s="55">
        <f>C52+C55+C63+C69</f>
        <v>71894.96</v>
      </c>
      <c r="D70" s="55">
        <f>D52+D55+D63+D69</f>
        <v>75349.27</v>
      </c>
      <c r="E70" s="55">
        <f>E52+E55+E63+E69</f>
        <v>102551.21</v>
      </c>
      <c r="F70" s="55">
        <f>F52+F55+F63+F69</f>
        <v>105502.22</v>
      </c>
      <c r="G70" s="55">
        <f>G52+G55+G63+G69</f>
        <v>92282.01999999999</v>
      </c>
      <c r="H70" s="55">
        <f>H52+H55+H63+H69</f>
        <v>122275.5</v>
      </c>
      <c r="I70" s="55">
        <f>I52+I55+I63+I69</f>
        <v>118991.41</v>
      </c>
      <c r="J70" s="55">
        <f>J52+J55+J63+J69</f>
        <v>150285.74</v>
      </c>
      <c r="K70" s="55">
        <f>K52+K55+K63+K69</f>
        <v>171413.47</v>
      </c>
      <c r="L70" s="55">
        <f>L52+L55+L63+L69</f>
        <v>15807.310000000001</v>
      </c>
      <c r="M70" s="57">
        <v>1077307.4300000002</v>
      </c>
    </row>
    <row r="71" spans="1:13" ht="16">
      <c r="A71" s="45" t="s">
        <v>68</v>
      </c>
      <c r="B71" s="55">
        <f>B28-B70</f>
        <v>-51853.44</v>
      </c>
      <c r="C71" s="55">
        <f>C28-C70</f>
        <v>-63812.57000000001</v>
      </c>
      <c r="D71" s="55">
        <f>D28-D70</f>
        <v>-79916.3</v>
      </c>
      <c r="E71" s="55">
        <f>E28-E70</f>
        <v>-56126.72</v>
      </c>
      <c r="F71" s="55">
        <f>F28-F70</f>
        <v>-62510.85</v>
      </c>
      <c r="G71" s="55">
        <f>G28-G70</f>
        <v>-56645.27</v>
      </c>
      <c r="H71" s="55">
        <f>H28-H70</f>
        <v>-67447.16</v>
      </c>
      <c r="I71" s="55">
        <f>I28-I70</f>
        <v>-63548.01</v>
      </c>
      <c r="J71" s="55">
        <f>J28-J70</f>
        <v>-87975.07999999999</v>
      </c>
      <c r="K71" s="55">
        <f>K28-K70</f>
        <v>-117081.65</v>
      </c>
      <c r="L71" s="55">
        <f>L28-L70</f>
        <v>-35964.39</v>
      </c>
      <c r="M71" s="58">
        <v>-742881.4400000002</v>
      </c>
    </row>
    <row r="72" spans="1:13" ht="16">
      <c r="A72" s="41" t="s">
        <v>69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spans="1:12" ht="16">
      <c r="A73" s="41" t="s">
        <v>70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</row>
    <row r="74" spans="1:13" ht="16" outlineLevel="1">
      <c r="A74" s="42" t="s">
        <v>71</v>
      </c>
      <c r="B74" s="53"/>
      <c r="C74" s="53"/>
      <c r="D74" s="53"/>
      <c r="E74" s="53"/>
      <c r="F74" s="53"/>
      <c r="G74" s="53"/>
      <c r="H74" s="53"/>
      <c r="I74" s="53"/>
      <c r="J74" s="53"/>
      <c r="K74" s="54">
        <v>0</v>
      </c>
      <c r="L74" s="53"/>
      <c r="M74" s="54">
        <f>B74+C74+D74+E74+F74+G74+H74+I74+J74+B740+B741</f>
        <v>0.0</v>
      </c>
    </row>
    <row r="75" spans="1:13" ht="16" outlineLevel="1">
      <c r="A75" s="42" t="s">
        <v>72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spans="1:13" ht="16" outlineLevel="2">
      <c r="A76" s="43" t="s">
        <v>73</v>
      </c>
      <c r="B76" s="53"/>
      <c r="C76" s="54">
        <v>125.0</v>
      </c>
      <c r="D76" s="53"/>
      <c r="E76" s="54">
        <v>54.4</v>
      </c>
      <c r="F76" s="53"/>
      <c r="G76" s="53"/>
      <c r="H76" s="53"/>
      <c r="I76" s="54">
        <v>179.66</v>
      </c>
      <c r="J76" s="54">
        <v>40.0</v>
      </c>
      <c r="K76" s="54">
        <v>98.0</v>
      </c>
      <c r="L76" s="53"/>
      <c r="M76" s="54">
        <v>497.06</v>
      </c>
    </row>
    <row r="77" spans="1:13" ht="16" outlineLevel="2">
      <c r="A77" s="43" t="s">
        <v>74</v>
      </c>
      <c r="B77" s="54">
        <v>57.3</v>
      </c>
      <c r="C77" s="54">
        <v>29.06</v>
      </c>
      <c r="D77" s="54">
        <v>57.2</v>
      </c>
      <c r="E77" s="54">
        <v>1068.1</v>
      </c>
      <c r="F77" s="54">
        <v>169.62</v>
      </c>
      <c r="G77" s="54">
        <v>50.0</v>
      </c>
      <c r="H77" s="54">
        <v>26.02</v>
      </c>
      <c r="I77" s="54">
        <v>54.29</v>
      </c>
      <c r="J77" s="54">
        <v>58.93</v>
      </c>
      <c r="K77" s="54">
        <v>175.47</v>
      </c>
      <c r="L77" s="53"/>
      <c r="M77" s="56">
        <v>1745.9899999999998</v>
      </c>
    </row>
    <row r="78" spans="1:13" ht="16" outlineLevel="1">
      <c r="A78" s="44" t="s">
        <v>75</v>
      </c>
      <c r="B78" s="55">
        <f>B75+B76+B77</f>
        <v>57.3</v>
      </c>
      <c r="C78" s="55">
        <f>C75+C76+C77</f>
        <v>154.06</v>
      </c>
      <c r="D78" s="55">
        <f>D75+D76+D77</f>
        <v>57.2</v>
      </c>
      <c r="E78" s="55">
        <f>E75+E76+E77</f>
        <v>1122.5</v>
      </c>
      <c r="F78" s="55">
        <f>F75+F76+F77</f>
        <v>169.62</v>
      </c>
      <c r="G78" s="55">
        <f>G75+G76+G77</f>
        <v>50.0</v>
      </c>
      <c r="H78" s="55">
        <f>H75+H76+H77</f>
        <v>26.02</v>
      </c>
      <c r="I78" s="55">
        <f>I75+I76+I77</f>
        <v>233.95</v>
      </c>
      <c r="J78" s="55">
        <f>J75+J76+J77</f>
        <v>98.93</v>
      </c>
      <c r="K78" s="55">
        <f>K75+K76+K77</f>
        <v>273.47</v>
      </c>
      <c r="L78" s="55"/>
      <c r="M78" s="57">
        <v>2243.0499999999993</v>
      </c>
    </row>
    <row r="79" spans="1:13" ht="16">
      <c r="A79" s="45" t="s">
        <v>76</v>
      </c>
      <c r="B79" s="55">
        <f>B74+B78</f>
        <v>57.3</v>
      </c>
      <c r="C79" s="55">
        <f>C74+C78</f>
        <v>154.06</v>
      </c>
      <c r="D79" s="55">
        <f>D74+D78</f>
        <v>57.2</v>
      </c>
      <c r="E79" s="55">
        <f>E74+E78</f>
        <v>1122.5</v>
      </c>
      <c r="F79" s="55">
        <f>F74+F78</f>
        <v>169.62</v>
      </c>
      <c r="G79" s="55">
        <f>G74+G78</f>
        <v>50.0</v>
      </c>
      <c r="H79" s="55">
        <f>H74+H78</f>
        <v>26.02</v>
      </c>
      <c r="I79" s="55">
        <f>I74+I78</f>
        <v>233.95</v>
      </c>
      <c r="J79" s="55">
        <f>J74+J78</f>
        <v>98.93</v>
      </c>
      <c r="K79" s="55">
        <f>K74+K78</f>
        <v>273.47</v>
      </c>
      <c r="L79" s="55"/>
      <c r="M79" s="57">
        <v>2243.0499999999993</v>
      </c>
    </row>
    <row r="80" spans="1:13" ht="16">
      <c r="A80" s="45" t="s">
        <v>77</v>
      </c>
      <c r="B80" s="55">
        <f>B72-B79</f>
        <v>-57.3</v>
      </c>
      <c r="C80" s="55">
        <f>C72-C79</f>
        <v>-154.06</v>
      </c>
      <c r="D80" s="55">
        <f>D72-D79</f>
        <v>-57.2</v>
      </c>
      <c r="E80" s="55">
        <f>E72-E79</f>
        <v>-1122.5</v>
      </c>
      <c r="F80" s="55">
        <f>F72-F79</f>
        <v>-169.62</v>
      </c>
      <c r="G80" s="55">
        <f>G72-G79</f>
        <v>-50.0</v>
      </c>
      <c r="H80" s="55">
        <f>H72-H79</f>
        <v>-26.02</v>
      </c>
      <c r="I80" s="55">
        <f>I72-I79</f>
        <v>-233.95</v>
      </c>
      <c r="J80" s="55">
        <f>J72-J79</f>
        <v>-98.93</v>
      </c>
      <c r="K80" s="55">
        <f>K72-K79</f>
        <v>-273.47</v>
      </c>
      <c r="L80" s="55"/>
      <c r="M80" s="57">
        <v>-2243.0499999999993</v>
      </c>
    </row>
    <row r="81" spans="1:13" ht="16">
      <c r="A81" s="45" t="s">
        <v>78</v>
      </c>
      <c r="B81" s="55">
        <f>B71+B80</f>
        <v>-51910.740000000005</v>
      </c>
      <c r="C81" s="55">
        <f>C71+C80</f>
        <v>-63966.630000000005</v>
      </c>
      <c r="D81" s="55">
        <f>D71+D80</f>
        <v>-79973.5</v>
      </c>
      <c r="E81" s="55">
        <f>E71+E80</f>
        <v>-57249.22</v>
      </c>
      <c r="F81" s="55">
        <f>F71+F80</f>
        <v>-62680.47</v>
      </c>
      <c r="G81" s="55">
        <f>G71+G80</f>
        <v>-56695.27</v>
      </c>
      <c r="H81" s="55">
        <f>H71+H80</f>
        <v>-67473.18000000001</v>
      </c>
      <c r="I81" s="55">
        <f>I71+I80</f>
        <v>-63781.96</v>
      </c>
      <c r="J81" s="55">
        <f>J71+J80</f>
        <v>-88074.00999999998</v>
      </c>
      <c r="K81" s="55">
        <f>K71+K80</f>
        <v>-117355.12</v>
      </c>
      <c r="L81" s="55">
        <f>L71+L80</f>
        <v>-35964.39</v>
      </c>
      <c r="M81" s="58">
        <v>-745124.4900000002</v>
      </c>
    </row>
    <row r="85" spans="1:1" ht="16">
      <c r="A85" s="59" t="s">
        <v>92</v>
      </c>
    </row>
  </sheetData>
  <mergeCells count="4">
    <mergeCell ref="A1:M1"/>
    <mergeCell ref="A2:M2"/>
    <mergeCell ref="A3:M3"/>
    <mergeCell ref="A85:M8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