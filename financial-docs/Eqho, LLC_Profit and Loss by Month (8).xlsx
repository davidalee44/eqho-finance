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9" i="1" l="1"/>
</calcChain>
</file>

<file path=xl/sharedStrings.xml><?xml version="1.0" encoding="utf-8"?>
<sst xmlns="http://schemas.openxmlformats.org/spreadsheetml/2006/main" count="89" uniqueCount="89">
  <si>
    <t>Profit and Loss by Month</t>
  </si>
  <si>
    <t>Eqho, LLC</t>
  </si>
  <si>
    <t>January 1-September 30, 2025</t>
  </si>
  <si>
    <t>Income</t>
  </si>
  <si>
    <t>40000 Sales</t>
  </si>
  <si>
    <t>40100 Software Sales</t>
  </si>
  <si>
    <t>Total for 40000 Sales</t>
  </si>
  <si>
    <t>Total for Income</t>
  </si>
  <si>
    <t>Cost of Goods Sold</t>
  </si>
  <si>
    <t>50000 COGS</t>
  </si>
  <si>
    <t>50100 COGS – Hosting &amp; Infrastructure</t>
  </si>
  <si>
    <t>50110 Cloud Services</t>
  </si>
  <si>
    <t>Total for 50100 COGS – Hosting &amp; Infrastructure</t>
  </si>
  <si>
    <t>50200 COGS – Software Licensing &amp; APIs</t>
  </si>
  <si>
    <t>50210 Voice AI Provider</t>
  </si>
  <si>
    <t>50220 Transcription</t>
  </si>
  <si>
    <t>50230 LLM</t>
  </si>
  <si>
    <t>50240 Telephony</t>
  </si>
  <si>
    <t>Total for 50200 COGS – Software Licensing &amp; APIs</t>
  </si>
  <si>
    <t>50300 COGS – Payment Processing</t>
  </si>
  <si>
    <t>50320 PayPal Fees (deleted)</t>
  </si>
  <si>
    <t>Total for 50300 COGS – Payment Processing</t>
  </si>
  <si>
    <t>50400 COGS – Technical Support</t>
  </si>
  <si>
    <t>Total for 50000 COGS</t>
  </si>
  <si>
    <t>Total for Cost of Goods Sold</t>
  </si>
  <si>
    <t>Gross Profit</t>
  </si>
  <si>
    <t>Expenses</t>
  </si>
  <si>
    <t>60000 General and Administrative</t>
  </si>
  <si>
    <t>60100 Bank Charges &amp; Fees</t>
  </si>
  <si>
    <t>60300 Accounting fees</t>
  </si>
  <si>
    <t>60400 Legal Fees</t>
  </si>
  <si>
    <t>60500 Other professional Fees</t>
  </si>
  <si>
    <t>60600 Office expenses</t>
  </si>
  <si>
    <t>60610 Merchant account fees</t>
  </si>
  <si>
    <t>60611 PayPal expense (deleted)</t>
  </si>
  <si>
    <t>Total for 60610 Merchant account fees</t>
  </si>
  <si>
    <t>60620 Printing &amp; photocopying</t>
  </si>
  <si>
    <t>60640 Software &amp; apps</t>
  </si>
  <si>
    <t>60650 Office expenses</t>
  </si>
  <si>
    <t>Total for 60600 Office expenses</t>
  </si>
  <si>
    <t>60800 Meals and Entertainment</t>
  </si>
  <si>
    <t>60900 Travel</t>
  </si>
  <si>
    <t>60910 Airfare</t>
  </si>
  <si>
    <t>60920 Hotels</t>
  </si>
  <si>
    <t>60930 Taxis or shared rides</t>
  </si>
  <si>
    <t>60950 Various travel expenses</t>
  </si>
  <si>
    <t>60960 Travel meals &amp; entertainment</t>
  </si>
  <si>
    <t>Total for 60900 Travel</t>
  </si>
  <si>
    <t>Total for 60000 General and Administrative</t>
  </si>
  <si>
    <t>64000 Labor Costs</t>
  </si>
  <si>
    <t>64500 Contract labor</t>
  </si>
  <si>
    <t>Total for 64000 Labor Costs</t>
  </si>
  <si>
    <t>66000 Occupancy</t>
  </si>
  <si>
    <t>66100 Rent</t>
  </si>
  <si>
    <t>66200 Utilities</t>
  </si>
  <si>
    <t>66240 Internet &amp; TV services</t>
  </si>
  <si>
    <t>66450 Phone service</t>
  </si>
  <si>
    <t>Total for 66200 Utilities</t>
  </si>
  <si>
    <t>66300 Repairs &amp; maintenance</t>
  </si>
  <si>
    <t>Total for 66000 Occupancy</t>
  </si>
  <si>
    <t>68000 Advertising &amp; marketing</t>
  </si>
  <si>
    <t>68100 Ad Spend</t>
  </si>
  <si>
    <t>68110 Social media</t>
  </si>
  <si>
    <t>Total for 68100 Ad Spend</t>
  </si>
  <si>
    <t>68200 Trade Shows</t>
  </si>
  <si>
    <t>Total for 68000 Advertising &amp; marketing</t>
  </si>
  <si>
    <t>Total for Expenses</t>
  </si>
  <si>
    <t>Net Operating Income</t>
  </si>
  <si>
    <t>Other Income</t>
  </si>
  <si>
    <t>Other Expenses</t>
  </si>
  <si>
    <t>71900 Vehicle expenses</t>
  </si>
  <si>
    <t>71910 Parking &amp; tolls</t>
  </si>
  <si>
    <t>71920 Vehicle gas &amp; fuel</t>
  </si>
  <si>
    <t>Total for 71900 Vehicle expenses</t>
  </si>
  <si>
    <t>Total for Other Expenses</t>
  </si>
  <si>
    <t>Net Other Income</t>
  </si>
  <si>
    <t>Net Income</t>
  </si>
  <si>
    <t>Distribution account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</si>
  <si>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</si>
  <si>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</si>
  <si>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</si>
  <si>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</si>
  <si>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</si>
  <si>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</si>
  <si>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</si>
  <si>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</si>
  <si>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</si>
  <si>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Total</t>
  </si>
  <si>
    <t>Accrual Basis Wednesday, November 05, 2025 11:19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</si>
</sst>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6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4" fillId="0" borderId="0" xfId="0" applyFont="1" applyAlignment="1">
      <alignment horizontal="left" indent="3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4"/>
    </xf>
    <xf numFmtId="0" fontId="4" fillId="0" borderId="0" xfId="0" applyFont="1" applyAlignment="1">
      <alignment horizontal="left" wrapText="1" indent="3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83"/>
  <sheetViews>
    <sheetView tabSelected="1" workbookViewId="0" topLeftCell="A1"/>
  </sheetViews>
  <sheetFormatPr defaultColWidth="11.255" defaultRowHeight="16" outlineLevelRow="4"/>
  <cols>
    <col min="1" max="1" width="41.875" style="48" customWidth="1"/>
    <col min="2" max="3" width="17" style="48" customWidth="1"/>
    <col min="4" max="10" width="16.125" style="48" customWidth="1"/>
    <col min="11" max="11" width="17" style="48" customWidth="1"/>
  </cols>
  <sheetData>
    <row r="1" spans="1:1" ht="16">
      <c r="A1" s="35" t="s">
        <v>0</v>
      </c>
    </row>
    <row r="2" spans="1:1" ht="16">
      <c r="A2" s="36" t="s">
        <v>1</v>
      </c>
    </row>
    <row r="3" spans="1:1" ht="16">
      <c r="A3" s="37" t="s">
        <v>2</v>
      </c>
    </row>
    <row r="5" spans="1:11" ht="16">
      <c r="A5" s="50" t="s">
        <v>77</v>
      </c>
      <c r="B5" s="50" t="s">
        <v>78</v>
      </c>
      <c r="C5" s="50" t="s">
        <v>79</v>
      </c>
      <c r="D5" s="50" t="s">
        <v>80</v>
      </c>
      <c r="E5" s="50" t="s">
        <v>81</v>
      </c>
      <c r="F5" s="50" t="s">
        <v>82</v>
      </c>
      <c r="G5" s="50" t="s">
        <v>83</v>
      </c>
      <c r="H5" s="50" t="s">
        <v>84</v>
      </c>
      <c r="I5" s="50" t="s">
        <v>85</v>
      </c>
      <c r="J5" s="50" t="s">
        <v>86</v>
      </c>
      <c r="K5" s="50" t="s">
        <v>87</v>
      </c>
    </row>
    <row r="6" spans="1:10" ht="16">
      <c r="A6" s="39" t="s">
        <v>3</v>
      </c>
      <c r="B6" s="51"/>
      <c r="C6" s="51"/>
      <c r="D6" s="51"/>
      <c r="E6" s="51"/>
      <c r="F6" s="51"/>
      <c r="G6" s="51"/>
      <c r="H6" s="51"/>
      <c r="I6" s="51"/>
      <c r="J6" s="51"/>
    </row>
    <row r="7" spans="1:11" ht="16" outlineLevel="1">
      <c r="A7" s="40" t="s">
        <v>4</v>
      </c>
      <c r="B7" s="51"/>
      <c r="C7" s="51"/>
      <c r="D7" s="51"/>
      <c r="E7" s="51"/>
      <c r="F7" s="51"/>
      <c r="G7" s="51"/>
      <c r="H7" s="51"/>
      <c r="I7" s="51"/>
      <c r="J7" s="51"/>
      <c r="K7" s="51"/>
    </row>
    <row r="8" spans="1:11" ht="16" outlineLevel="2">
      <c r="A8" s="41" t="s">
        <v>5</v>
      </c>
      <c r="B8" s="52">
        <v>17480.67</v>
      </c>
      <c r="C8" s="52">
        <v>22160.0</v>
      </c>
      <c r="D8" s="52">
        <v>23500.0</v>
      </c>
      <c r="E8" s="52">
        <v>68050.0</v>
      </c>
      <c r="F8" s="52">
        <v>67067.8</v>
      </c>
      <c r="G8" s="52">
        <v>72736.93</v>
      </c>
      <c r="H8" s="52">
        <v>95751.78</v>
      </c>
      <c r="I8" s="52">
        <v>88971.8</v>
      </c>
      <c r="J8" s="52">
        <v>90201.85</v>
      </c>
      <c r="K8" s="52">
        <f>B8+C8+D8+E8+F8+G8+H8+I8+J8</f>
        <v>545920.83</v>
      </c>
    </row>
    <row r="9" spans="1:11" ht="16" outlineLevel="1">
      <c r="A9" s="42" t="s">
        <v>6</v>
      </c>
      <c r="B9" s="53">
        <f>B7+B8</f>
        <v>17480.67</v>
      </c>
      <c r="C9" s="53">
        <f>C7+C8</f>
        <v>22160.0</v>
      </c>
      <c r="D9" s="53">
        <f>D7+D8</f>
        <v>23500.0</v>
      </c>
      <c r="E9" s="53">
        <f>E7+E8</f>
        <v>68050.0</v>
      </c>
      <c r="F9" s="53">
        <f>F7+F8</f>
        <v>67067.8</v>
      </c>
      <c r="G9" s="53">
        <f>G7+G8</f>
        <v>72736.93</v>
      </c>
      <c r="H9" s="53">
        <f>H7+H8</f>
        <v>95751.78</v>
      </c>
      <c r="I9" s="53">
        <f>I7+I8</f>
        <v>88971.8</v>
      </c>
      <c r="J9" s="53">
        <f>J7+J8</f>
        <v>90201.85</v>
      </c>
      <c r="K9" s="54">
        <f>B9+C9+D9+E9+F9+G9+H9+I9+J9</f>
        <v>545920.83</v>
      </c>
    </row>
    <row r="10" spans="1:11" ht="16">
      <c r="A10" s="43" t="s">
        <v>7</v>
      </c>
      <c r="B10" s="53">
        <f>B9</f>
        <v>17480.67</v>
      </c>
      <c r="C10" s="53">
        <f>C9</f>
        <v>22160.0</v>
      </c>
      <c r="D10" s="53">
        <f>D9</f>
        <v>23500.0</v>
      </c>
      <c r="E10" s="53">
        <f>E9</f>
        <v>68050.0</v>
      </c>
      <c r="F10" s="53">
        <f>F9</f>
        <v>67067.8</v>
      </c>
      <c r="G10" s="53">
        <f>G9</f>
        <v>72736.93</v>
      </c>
      <c r="H10" s="53">
        <f>H9</f>
        <v>95751.78</v>
      </c>
      <c r="I10" s="53">
        <f>I9</f>
        <v>88971.8</v>
      </c>
      <c r="J10" s="53">
        <f>J9</f>
        <v>90201.85</v>
      </c>
      <c r="K10" s="54">
        <f>B10+C10+D10+E10+F10+G10+H10+I10+J10</f>
        <v>545920.83</v>
      </c>
    </row>
    <row r="11" spans="1:10" ht="16">
      <c r="A11" s="39" t="s">
        <v>8</v>
      </c>
      <c r="B11" s="51"/>
      <c r="C11" s="51"/>
      <c r="D11" s="51"/>
      <c r="E11" s="51"/>
      <c r="F11" s="51"/>
      <c r="G11" s="51"/>
      <c r="H11" s="51"/>
      <c r="I11" s="51"/>
      <c r="J11" s="51"/>
    </row>
    <row r="12" spans="1:11" ht="16" outlineLevel="1">
      <c r="A12" s="40" t="s">
        <v>9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</row>
    <row r="13" spans="1:11" ht="16" outlineLevel="2">
      <c r="A13" s="41" t="s">
        <v>10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</row>
    <row r="14" spans="1:11" ht="16" outlineLevel="3">
      <c r="A14" s="44" t="s">
        <v>11</v>
      </c>
      <c r="B14" s="52">
        <v>8511.39</v>
      </c>
      <c r="C14" s="52">
        <v>7834.83</v>
      </c>
      <c r="D14" s="52">
        <v>13888.8</v>
      </c>
      <c r="E14" s="52">
        <v>12389.3</v>
      </c>
      <c r="F14" s="52">
        <v>13032.68</v>
      </c>
      <c r="G14" s="52">
        <v>15630.17</v>
      </c>
      <c r="H14" s="52">
        <v>16181.76</v>
      </c>
      <c r="I14" s="52">
        <v>26799.88</v>
      </c>
      <c r="J14" s="52">
        <v>13330.75</v>
      </c>
      <c r="K14" s="52">
        <f>B14+C14+D14+E14+F14+G14+H14+I14+J14</f>
        <v>127599.56</v>
      </c>
    </row>
    <row r="15" spans="1:11" ht="16" outlineLevel="2">
      <c r="A15" s="45" t="s">
        <v>12</v>
      </c>
      <c r="B15" s="53">
        <f>B13+B14</f>
        <v>8511.39</v>
      </c>
      <c r="C15" s="53">
        <f>C13+C14</f>
        <v>7834.83</v>
      </c>
      <c r="D15" s="53">
        <f>D13+D14</f>
        <v>13888.8</v>
      </c>
      <c r="E15" s="53">
        <f>E13+E14</f>
        <v>12389.3</v>
      </c>
      <c r="F15" s="53">
        <f>F13+F14</f>
        <v>13032.68</v>
      </c>
      <c r="G15" s="53">
        <f>G13+G14</f>
        <v>15630.17</v>
      </c>
      <c r="H15" s="53">
        <f>H13+H14</f>
        <v>16181.76</v>
      </c>
      <c r="I15" s="53">
        <f>I13+I14</f>
        <v>26799.88</v>
      </c>
      <c r="J15" s="53">
        <f>J13+J14</f>
        <v>13330.75</v>
      </c>
      <c r="K15" s="54">
        <f>B15+C15+D15+E15+F15+G15+H15+I15+J15</f>
        <v>127599.56</v>
      </c>
    </row>
    <row r="16" spans="1:11" ht="16" outlineLevel="2">
      <c r="A16" s="41" t="s">
        <v>13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</row>
    <row r="17" spans="1:11" ht="16" outlineLevel="3">
      <c r="A17" s="44" t="s">
        <v>14</v>
      </c>
      <c r="B17" s="52">
        <v>922.11</v>
      </c>
      <c r="C17" s="52">
        <v>1177.42</v>
      </c>
      <c r="D17" s="52">
        <v>2222.18</v>
      </c>
      <c r="E17" s="52">
        <v>2286.06</v>
      </c>
      <c r="F17" s="51"/>
      <c r="G17" s="52">
        <v>3678.21</v>
      </c>
      <c r="H17" s="52">
        <v>9876.76</v>
      </c>
      <c r="I17" s="51"/>
      <c r="J17" s="51"/>
      <c r="K17" s="52">
        <f>B17+C17+D17+E17+F17+G17+H17+I17+J17</f>
        <v>20162.739999999998</v>
      </c>
    </row>
    <row r="18" spans="1:11" ht="16" outlineLevel="3">
      <c r="A18" s="44" t="s">
        <v>15</v>
      </c>
      <c r="B18" s="52">
        <v>5000.0</v>
      </c>
      <c r="C18" s="52">
        <v>1258.49</v>
      </c>
      <c r="D18" s="52">
        <v>1258.49</v>
      </c>
      <c r="E18" s="52">
        <v>1258.49</v>
      </c>
      <c r="F18" s="52">
        <v>1258.49</v>
      </c>
      <c r="G18" s="52">
        <v>1258.49</v>
      </c>
      <c r="H18" s="52">
        <v>1258.49</v>
      </c>
      <c r="I18" s="52">
        <v>1258.49</v>
      </c>
      <c r="J18" s="52">
        <v>1258.49</v>
      </c>
      <c r="K18" s="52">
        <f>B18+C18+D18+E18+F18+G18+H18+I18+J18</f>
        <v>15067.919999999998</v>
      </c>
    </row>
    <row r="19" spans="1:11" ht="16" outlineLevel="3">
      <c r="A19" s="44" t="s">
        <v>16</v>
      </c>
      <c r="B19" s="52">
        <v>2211.53</v>
      </c>
      <c r="C19" s="52">
        <v>1245.19</v>
      </c>
      <c r="D19" s="52">
        <v>4075.18</v>
      </c>
      <c r="E19" s="52">
        <v>2343.93</v>
      </c>
      <c r="F19" s="52">
        <v>4436.33</v>
      </c>
      <c r="G19" s="52">
        <v>7725.43</v>
      </c>
      <c r="H19" s="52">
        <v>5672.55</v>
      </c>
      <c r="I19" s="52">
        <v>1668.89</v>
      </c>
      <c r="J19" s="52">
        <v>7700.91</v>
      </c>
      <c r="K19" s="52">
        <f>B19+C19+D19+E19+F19+G19+H19+I19+J19</f>
        <v>37079.94</v>
      </c>
    </row>
    <row r="20" spans="1:11" ht="16" outlineLevel="3">
      <c r="A20" s="44" t="s">
        <v>17</v>
      </c>
      <c r="B20" s="52">
        <v>1734.76</v>
      </c>
      <c r="C20" s="52">
        <v>2561.68</v>
      </c>
      <c r="D20" s="52">
        <v>6622.38</v>
      </c>
      <c r="E20" s="52">
        <v>3347.73</v>
      </c>
      <c r="F20" s="52">
        <v>5348.93</v>
      </c>
      <c r="G20" s="52">
        <v>7307.88</v>
      </c>
      <c r="H20" s="52">
        <v>7183.88</v>
      </c>
      <c r="I20" s="52">
        <v>3051.14</v>
      </c>
      <c r="J20" s="52">
        <v>4851.04</v>
      </c>
      <c r="K20" s="52">
        <f>B20+C20+D20+E20+F20+G20+H20+I20+J20</f>
        <v>42009.42</v>
      </c>
    </row>
    <row r="21" spans="1:11" ht="16" outlineLevel="2">
      <c r="A21" s="45" t="s">
        <v>18</v>
      </c>
      <c r="B21" s="53">
        <f>B16+B17+B18+B19+B20</f>
        <v>9868.4</v>
      </c>
      <c r="C21" s="53">
        <f>C16+C17+C18+C19+C20</f>
        <v>6242.78</v>
      </c>
      <c r="D21" s="53">
        <f>D16+D17+D18+D19+D20</f>
        <v>14178.23</v>
      </c>
      <c r="E21" s="53">
        <f>E16+E17+E18+E19+E20</f>
        <v>9236.21</v>
      </c>
      <c r="F21" s="53">
        <f>F16+F17+F18+F19+F20</f>
        <v>11043.75</v>
      </c>
      <c r="G21" s="53">
        <f>G16+G17+G18+G19+G20</f>
        <v>19970.010000000002</v>
      </c>
      <c r="H21" s="53">
        <f>H16+H17+H18+H19+H20</f>
        <v>23991.68</v>
      </c>
      <c r="I21" s="53">
        <f>I16+I17+I18+I19+I20</f>
        <v>5978.52</v>
      </c>
      <c r="J21" s="53">
        <f>J16+J17+J18+J19+J20</f>
        <v>13810.439999999999</v>
      </c>
      <c r="K21" s="54">
        <f>B21+C21+D21+E21+F21+G21+H21+I21+J21</f>
        <v>114320.02</v>
      </c>
    </row>
    <row r="22" spans="1:11" ht="16" outlineLevel="2">
      <c r="A22" s="41" t="s">
        <v>19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</row>
    <row r="23" spans="1:11" ht="16" outlineLevel="3">
      <c r="A23" s="44" t="s">
        <v>20</v>
      </c>
      <c r="B23" s="51"/>
      <c r="C23" s="52">
        <v>0</v>
      </c>
      <c r="D23" s="51"/>
      <c r="E23" s="51"/>
      <c r="F23" s="51"/>
      <c r="G23" s="51"/>
      <c r="H23" s="51"/>
      <c r="I23" s="51"/>
      <c r="J23" s="51"/>
      <c r="K23" s="52">
        <f>B23+C23+D23+E23+F23+G23+H23+I23+J23</f>
        <v>0.0</v>
      </c>
    </row>
    <row r="24" spans="1:11" ht="16" outlineLevel="2">
      <c r="A24" s="45" t="s">
        <v>21</v>
      </c>
      <c r="B24" s="53"/>
      <c r="C24" s="53">
        <f>C22+C23</f>
        <v>0.0</v>
      </c>
      <c r="D24" s="53"/>
      <c r="E24" s="53"/>
      <c r="F24" s="53"/>
      <c r="G24" s="53"/>
      <c r="H24" s="53"/>
      <c r="I24" s="53"/>
      <c r="J24" s="53"/>
      <c r="K24" s="54">
        <f>B24+C24+D24+E24+F24+G24+H24+I24+J24</f>
        <v>0.0</v>
      </c>
    </row>
    <row r="25" spans="1:11" ht="16" outlineLevel="2">
      <c r="A25" s="41" t="s">
        <v>22</v>
      </c>
      <c r="B25" s="51"/>
      <c r="C25" s="51"/>
      <c r="D25" s="51"/>
      <c r="E25" s="51"/>
      <c r="F25" s="51"/>
      <c r="G25" s="52">
        <v>1500.0</v>
      </c>
      <c r="H25" s="52">
        <v>750.0</v>
      </c>
      <c r="I25" s="52">
        <v>750.0</v>
      </c>
      <c r="J25" s="52">
        <v>750.0</v>
      </c>
      <c r="K25" s="52">
        <f>B25+C25+D25+E25+F25+G25+H25+I25+J25</f>
        <v>3750.0</v>
      </c>
    </row>
    <row r="26" spans="1:11" ht="16" outlineLevel="1">
      <c r="A26" s="42" t="s">
        <v>23</v>
      </c>
      <c r="B26" s="53">
        <f>B12+B15+B21+B24+B25</f>
        <v>18379.79</v>
      </c>
      <c r="C26" s="53">
        <f>C12+C15+C21+C24+C25</f>
        <v>14077.61</v>
      </c>
      <c r="D26" s="53">
        <f>D12+D15+D21+D24+D25</f>
        <v>28067.03</v>
      </c>
      <c r="E26" s="53">
        <f>E12+E15+E21+E24+E25</f>
        <v>21625.51</v>
      </c>
      <c r="F26" s="53">
        <f>F12+F15+F21+F24+F25</f>
        <v>24076.43</v>
      </c>
      <c r="G26" s="53">
        <f>G12+G15+G21+G24+G25</f>
        <v>37100.18</v>
      </c>
      <c r="H26" s="53">
        <f>H12+H15+H21+H24+H25</f>
        <v>40923.44</v>
      </c>
      <c r="I26" s="53">
        <f>I12+I15+I21+I24+I25</f>
        <v>33528.4</v>
      </c>
      <c r="J26" s="53">
        <f>J12+J15+J21+J24+J25</f>
        <v>27891.19</v>
      </c>
      <c r="K26" s="54">
        <f>B26+C26+D26+E26+F26+G26+H26+I26+J26</f>
        <v>245669.58</v>
      </c>
    </row>
    <row r="27" spans="1:11" ht="16">
      <c r="A27" s="43" t="s">
        <v>24</v>
      </c>
      <c r="B27" s="53">
        <f>B26</f>
        <v>18379.79</v>
      </c>
      <c r="C27" s="53">
        <f>C26</f>
        <v>14077.61</v>
      </c>
      <c r="D27" s="53">
        <f>D26</f>
        <v>28067.03</v>
      </c>
      <c r="E27" s="53">
        <f>E26</f>
        <v>21625.51</v>
      </c>
      <c r="F27" s="53">
        <f>F26</f>
        <v>24076.43</v>
      </c>
      <c r="G27" s="53">
        <f>G26</f>
        <v>37100.18</v>
      </c>
      <c r="H27" s="53">
        <f>H26</f>
        <v>40923.44</v>
      </c>
      <c r="I27" s="53">
        <f>I26</f>
        <v>33528.4</v>
      </c>
      <c r="J27" s="53">
        <f>J26</f>
        <v>27891.19</v>
      </c>
      <c r="K27" s="54">
        <f>B27+C27+D27+E27+F27+G27+H27+I27+J27</f>
        <v>245669.58</v>
      </c>
    </row>
    <row r="28" spans="1:11" ht="16">
      <c r="A28" s="43" t="s">
        <v>25</v>
      </c>
      <c r="B28" s="53">
        <f>B10-B27</f>
        <v>-899.1200000000026</v>
      </c>
      <c r="C28" s="53">
        <f>C10-C27</f>
        <v>8082.389999999999</v>
      </c>
      <c r="D28" s="53">
        <f>D10-D27</f>
        <v>-4567.029999999999</v>
      </c>
      <c r="E28" s="53">
        <f>E10-E27</f>
        <v>46424.490000000005</v>
      </c>
      <c r="F28" s="53">
        <f>F10-F27</f>
        <v>42991.37</v>
      </c>
      <c r="G28" s="53">
        <f>G10-G27</f>
        <v>35636.74999999999</v>
      </c>
      <c r="H28" s="53">
        <f>H10-H27</f>
        <v>54828.34</v>
      </c>
      <c r="I28" s="53">
        <f>I10-I27</f>
        <v>55443.4</v>
      </c>
      <c r="J28" s="53">
        <f>J10-J27</f>
        <v>62310.66</v>
      </c>
      <c r="K28" s="54">
        <f>B28+C28+D28+E28+F28+G28+H28+I28+J28</f>
        <v>300251.25</v>
      </c>
    </row>
    <row r="29" spans="1:10" ht="16">
      <c r="A29" s="39" t="s">
        <v>26</v>
      </c>
      <c r="B29" s="51"/>
      <c r="C29" s="51"/>
      <c r="D29" s="51"/>
      <c r="E29" s="51"/>
      <c r="F29" s="51"/>
      <c r="G29" s="51"/>
      <c r="H29" s="51"/>
      <c r="I29" s="51"/>
      <c r="J29" s="51"/>
    </row>
    <row r="30" spans="1:11" ht="16" outlineLevel="1">
      <c r="A30" s="40" t="s">
        <v>27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spans="1:11" ht="16" outlineLevel="2">
      <c r="A31" s="41" t="s">
        <v>28</v>
      </c>
      <c r="B31" s="52">
        <v>360.0</v>
      </c>
      <c r="C31" s="52">
        <v>360.0</v>
      </c>
      <c r="D31" s="52">
        <v>240.0</v>
      </c>
      <c r="E31" s="52">
        <v>634.0</v>
      </c>
      <c r="F31" s="52">
        <v>400.0</v>
      </c>
      <c r="G31" s="52">
        <v>440.0</v>
      </c>
      <c r="H31" s="52">
        <v>640.0</v>
      </c>
      <c r="I31" s="52">
        <v>720.0</v>
      </c>
      <c r="J31" s="52">
        <v>609.2</v>
      </c>
      <c r="K31" s="52">
        <f>B31+C31+D31+E31+F31+G31+H31+I31+J31</f>
        <v>4403.2</v>
      </c>
    </row>
    <row r="32" spans="1:11" ht="16" outlineLevel="2">
      <c r="A32" s="41" t="s">
        <v>29</v>
      </c>
      <c r="B32" s="51"/>
      <c r="C32" s="51"/>
      <c r="D32" s="51"/>
      <c r="E32" s="51"/>
      <c r="F32" s="51"/>
      <c r="G32" s="51"/>
      <c r="H32" s="52">
        <v>5000.0</v>
      </c>
      <c r="I32" s="52">
        <v>2500.0</v>
      </c>
      <c r="J32" s="52">
        <v>2500.0</v>
      </c>
      <c r="K32" s="52">
        <f>B32+C32+D32+E32+F32+G32+H32+I32+J32</f>
        <v>10000.0</v>
      </c>
    </row>
    <row r="33" spans="1:11" ht="16" outlineLevel="2">
      <c r="A33" s="41" t="s">
        <v>30</v>
      </c>
      <c r="B33" s="52">
        <v>1800.0</v>
      </c>
      <c r="C33" s="51"/>
      <c r="D33" s="51"/>
      <c r="E33" s="52">
        <v>13438.83</v>
      </c>
      <c r="F33" s="52">
        <v>7209.0</v>
      </c>
      <c r="G33" s="51"/>
      <c r="H33" s="52">
        <v>5184.25</v>
      </c>
      <c r="I33" s="51"/>
      <c r="J33" s="51"/>
      <c r="K33" s="52">
        <f>B33+C33+D33+E33+F33+G33+H33+I33+J33</f>
        <v>27632.08</v>
      </c>
    </row>
    <row r="34" spans="1:11" ht="16" outlineLevel="2">
      <c r="A34" s="41" t="s">
        <v>31</v>
      </c>
      <c r="B34" s="51"/>
      <c r="C34" s="51"/>
      <c r="D34" s="51"/>
      <c r="E34" s="51"/>
      <c r="F34" s="51"/>
      <c r="G34" s="51"/>
      <c r="H34" s="51"/>
      <c r="I34" s="52">
        <v>232.1</v>
      </c>
      <c r="J34" s="52">
        <v>0</v>
      </c>
      <c r="K34" s="52">
        <f>B34+C34+D34+E34+F34+G34+H34+I34+J34</f>
        <v>232.1</v>
      </c>
    </row>
    <row r="35" spans="1:11" ht="16" outlineLevel="2">
      <c r="A35" s="41" t="s">
        <v>32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</row>
    <row r="36" spans="1:11" ht="16" outlineLevel="3">
      <c r="A36" s="44" t="s">
        <v>33</v>
      </c>
      <c r="B36" s="52">
        <v>643.74</v>
      </c>
      <c r="C36" s="52">
        <v>835.83</v>
      </c>
      <c r="D36" s="52">
        <v>914.23</v>
      </c>
      <c r="E36" s="52">
        <v>2519.93</v>
      </c>
      <c r="F36" s="52">
        <v>2556.62</v>
      </c>
      <c r="G36" s="52">
        <v>2513.16</v>
      </c>
      <c r="H36" s="52">
        <v>3546.55</v>
      </c>
      <c r="I36" s="52">
        <v>3501.17</v>
      </c>
      <c r="J36" s="52">
        <v>2698.28</v>
      </c>
      <c r="K36" s="52">
        <f>B36+C36+D36+E36+F36+G36+H36+I36+J36</f>
        <v>19729.509999999995</v>
      </c>
    </row>
    <row r="37" spans="1:11" ht="16" outlineLevel="4">
      <c r="A37" s="46" t="s">
        <v>34</v>
      </c>
      <c r="B37" s="51"/>
      <c r="C37" s="52">
        <v>0</v>
      </c>
      <c r="D37" s="51"/>
      <c r="E37" s="51"/>
      <c r="F37" s="51"/>
      <c r="G37" s="51"/>
      <c r="H37" s="51"/>
      <c r="I37" s="51"/>
      <c r="J37" s="51"/>
      <c r="K37" s="52">
        <f>B37+C37+D37+E37+F37+G37+H37+I37+J37</f>
        <v>0.0</v>
      </c>
    </row>
    <row r="38" spans="1:11" ht="16" outlineLevel="3">
      <c r="A38" s="47" t="s">
        <v>35</v>
      </c>
      <c r="B38" s="53">
        <f>B36+B37</f>
        <v>643.74</v>
      </c>
      <c r="C38" s="53">
        <f>C36+C37</f>
        <v>835.83</v>
      </c>
      <c r="D38" s="53">
        <f>D36+D37</f>
        <v>914.23</v>
      </c>
      <c r="E38" s="53">
        <f>E36+E37</f>
        <v>2519.93</v>
      </c>
      <c r="F38" s="53">
        <f>F36+F37</f>
        <v>2556.62</v>
      </c>
      <c r="G38" s="53">
        <f>G36+G37</f>
        <v>2513.16</v>
      </c>
      <c r="H38" s="53">
        <f>H36+H37</f>
        <v>3546.55</v>
      </c>
      <c r="I38" s="53">
        <f>I36+I37</f>
        <v>3501.17</v>
      </c>
      <c r="J38" s="53">
        <f>J36+J37</f>
        <v>2698.28</v>
      </c>
      <c r="K38" s="54">
        <f>B38+C38+D38+E38+F38+G38+H38+I38+J38</f>
        <v>19729.509999999995</v>
      </c>
    </row>
    <row r="39" spans="1:11" ht="16" outlineLevel="3">
      <c r="A39" s="44" t="s">
        <v>36</v>
      </c>
      <c r="B39" s="51"/>
      <c r="C39" s="51"/>
      <c r="D39" s="51"/>
      <c r="E39" s="52">
        <v>300.23</v>
      </c>
      <c r="F39" s="51"/>
      <c r="G39" s="51"/>
      <c r="H39" s="51"/>
      <c r="I39" s="51"/>
      <c r="J39" s="51"/>
      <c r="K39" s="52">
        <f>B39+C39+D39+E39+F39+G39+H39+I39+J39</f>
        <v>300.23</v>
      </c>
    </row>
    <row r="40" spans="1:11" ht="16" outlineLevel="3">
      <c r="A40" s="44" t="s">
        <v>37</v>
      </c>
      <c r="B40" s="52">
        <v>4871.57</v>
      </c>
      <c r="C40" s="52">
        <v>5599.67</v>
      </c>
      <c r="D40" s="52">
        <v>5906.16</v>
      </c>
      <c r="E40" s="52">
        <v>6899.52</v>
      </c>
      <c r="F40" s="52">
        <v>8607.35</v>
      </c>
      <c r="G40" s="52">
        <v>7076.29</v>
      </c>
      <c r="H40" s="52">
        <v>10453.05</v>
      </c>
      <c r="I40" s="52">
        <v>8551.54</v>
      </c>
      <c r="J40" s="52">
        <v>9090.26</v>
      </c>
      <c r="K40" s="52">
        <f>B40+C40+D40+E40+F40+G40+H40+I40+J40</f>
        <v>67055.41</v>
      </c>
    </row>
    <row r="41" spans="1:11" ht="16" outlineLevel="3">
      <c r="A41" s="44" t="s">
        <v>38</v>
      </c>
      <c r="B41" s="51"/>
      <c r="C41" s="51"/>
      <c r="D41" s="51"/>
      <c r="E41" s="51"/>
      <c r="F41" s="51"/>
      <c r="G41" s="51"/>
      <c r="H41" s="51"/>
      <c r="I41" s="52">
        <v>46.25</v>
      </c>
      <c r="J41" s="52">
        <v>2615.5</v>
      </c>
      <c r="K41" s="52">
        <f>B41+C41+D41+E41+F41+G41+H41+I41+J41</f>
        <v>2661.75</v>
      </c>
    </row>
    <row r="42" spans="1:11" ht="16" outlineLevel="2">
      <c r="A42" s="45" t="s">
        <v>39</v>
      </c>
      <c r="B42" s="53">
        <f>B35+B38+B39+B40+B41</f>
        <v>5515.3099999999995</v>
      </c>
      <c r="C42" s="53">
        <f>C35+C38+C39+C40+C41</f>
        <v>6435.5</v>
      </c>
      <c r="D42" s="53">
        <f>D35+D38+D39+D40+D41</f>
        <v>6820.389999999999</v>
      </c>
      <c r="E42" s="53">
        <f>E35+E38+E39+E40+E41</f>
        <v>9719.68</v>
      </c>
      <c r="F42" s="53">
        <f>F35+F38+F39+F40+F41</f>
        <v>11163.970000000001</v>
      </c>
      <c r="G42" s="53">
        <f>G35+G38+G39+G40+G41</f>
        <v>9589.45</v>
      </c>
      <c r="H42" s="53">
        <f>H35+H38+H39+H40+H41</f>
        <v>13999.599999999999</v>
      </c>
      <c r="I42" s="53">
        <f>I35+I38+I39+I40+I41</f>
        <v>12098.960000000001</v>
      </c>
      <c r="J42" s="53">
        <f>J35+J38+J39+J40+J41</f>
        <v>14404.04</v>
      </c>
      <c r="K42" s="54">
        <f>B42+C42+D42+E42+F42+G42+H42+I42+J42</f>
        <v>89746.9</v>
      </c>
    </row>
    <row r="43" spans="1:11" ht="16" outlineLevel="2">
      <c r="A43" s="41" t="s">
        <v>40</v>
      </c>
      <c r="B43" s="52">
        <v>172.41</v>
      </c>
      <c r="C43" s="52">
        <v>144.58</v>
      </c>
      <c r="D43" s="51"/>
      <c r="E43" s="52">
        <v>125.08</v>
      </c>
      <c r="F43" s="52">
        <v>91.17</v>
      </c>
      <c r="G43" s="52">
        <v>117.8</v>
      </c>
      <c r="H43" s="52">
        <v>336.21</v>
      </c>
      <c r="I43" s="52">
        <v>255.9</v>
      </c>
      <c r="J43" s="52">
        <v>933.84</v>
      </c>
      <c r="K43" s="52">
        <f>B43+C43+D43+E43+F43+G43+H43+I43+J43</f>
        <v>2176.9900000000002</v>
      </c>
    </row>
    <row r="44" spans="1:11" ht="16" outlineLevel="2">
      <c r="A44" s="41" t="s">
        <v>41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</row>
    <row r="45" spans="1:11" ht="16" outlineLevel="3">
      <c r="A45" s="44" t="s">
        <v>42</v>
      </c>
      <c r="B45" s="52">
        <v>418.37</v>
      </c>
      <c r="C45" s="52">
        <v>514.97</v>
      </c>
      <c r="D45" s="51"/>
      <c r="E45" s="51"/>
      <c r="F45" s="51"/>
      <c r="G45" s="51"/>
      <c r="H45" s="51"/>
      <c r="I45" s="52">
        <v>1191.1</v>
      </c>
      <c r="J45" s="52">
        <v>1531.73</v>
      </c>
      <c r="K45" s="52">
        <f>B45+C45+D45+E45+F45+G45+H45+I45+J45</f>
        <v>3656.17</v>
      </c>
    </row>
    <row r="46" spans="1:11" ht="16" outlineLevel="3">
      <c r="A46" s="44" t="s">
        <v>43</v>
      </c>
      <c r="B46" s="52">
        <v>350.34</v>
      </c>
      <c r="C46" s="52">
        <v>1265.82</v>
      </c>
      <c r="D46" s="52">
        <v>-350.34</v>
      </c>
      <c r="E46" s="52">
        <v>1984.73</v>
      </c>
      <c r="F46" s="52">
        <v>846.51</v>
      </c>
      <c r="G46" s="51"/>
      <c r="H46" s="52">
        <v>1087.0</v>
      </c>
      <c r="I46" s="52">
        <v>1227.09</v>
      </c>
      <c r="J46" s="51"/>
      <c r="K46" s="52">
        <f>B46+C46+D46+E46+F46+G46+H46+I46+J46</f>
        <v>6411.150000000001</v>
      </c>
    </row>
    <row r="47" spans="1:11" ht="16" outlineLevel="3">
      <c r="A47" s="44" t="s">
        <v>44</v>
      </c>
      <c r="B47" s="51"/>
      <c r="C47" s="52">
        <v>168.88</v>
      </c>
      <c r="D47" s="51"/>
      <c r="E47" s="52">
        <v>49.81</v>
      </c>
      <c r="F47" s="51"/>
      <c r="G47" s="51"/>
      <c r="H47" s="51"/>
      <c r="I47" s="52">
        <v>302.22</v>
      </c>
      <c r="J47" s="52">
        <v>128.16</v>
      </c>
      <c r="K47" s="52">
        <f>B47+C47+D47+E47+F47+G47+H47+I47+J47</f>
        <v>649.07</v>
      </c>
    </row>
    <row r="48" spans="1:11" ht="16" outlineLevel="3">
      <c r="A48" s="44" t="s">
        <v>45</v>
      </c>
      <c r="B48" s="51"/>
      <c r="C48" s="51"/>
      <c r="D48" s="51"/>
      <c r="E48" s="51"/>
      <c r="F48" s="52">
        <v>756.76</v>
      </c>
      <c r="G48" s="51"/>
      <c r="H48" s="51"/>
      <c r="I48" s="52">
        <v>1160.87</v>
      </c>
      <c r="J48" s="52">
        <v>5.0</v>
      </c>
      <c r="K48" s="52">
        <f>B48+C48+D48+E48+F48+G48+H48+I48+J48</f>
        <v>1922.6299999999999</v>
      </c>
    </row>
    <row r="49" spans="1:11" ht="16" outlineLevel="3">
      <c r="A49" s="44" t="s">
        <v>46</v>
      </c>
      <c r="B49" s="51"/>
      <c r="C49" s="52">
        <v>1185.8</v>
      </c>
      <c r="D49" s="51"/>
      <c r="E49" s="52">
        <v>2480.3</v>
      </c>
      <c r="F49" s="51"/>
      <c r="G49" s="51"/>
      <c r="H49" s="51"/>
      <c r="I49" s="52">
        <v>792.52</v>
      </c>
      <c r="J49" s="52">
        <v>12.35</v>
      </c>
      <c r="K49" s="52">
        <f>B49+C49+D49+E49+F49+G49+H49+I49+J49</f>
        <v>4470.970000000001</v>
      </c>
    </row>
    <row r="50" spans="1:11" ht="16" outlineLevel="2">
      <c r="A50" s="45" t="s">
        <v>47</v>
      </c>
      <c r="B50" s="53">
        <f>B44+B45+B46+B47+B48+B49</f>
        <v>768.71</v>
      </c>
      <c r="C50" s="53">
        <f>C44+C45+C46+C47+C48+C49</f>
        <v>3135.4700000000003</v>
      </c>
      <c r="D50" s="53">
        <f>D44+D45+D46+D47+D48+D49</f>
        <v>-350.34</v>
      </c>
      <c r="E50" s="53">
        <f>E44+E45+E46+E47+E48+E49</f>
        <v>4514.84</v>
      </c>
      <c r="F50" s="53">
        <f>F44+F45+F46+F47+F48+F49</f>
        <v>1603.27</v>
      </c>
      <c r="G50" s="53"/>
      <c r="H50" s="53">
        <f>H44+H45+H46+H47+H48+H49</f>
        <v>1087.0</v>
      </c>
      <c r="I50" s="53">
        <f>I44+I45+I46+I47+I48+I49</f>
        <v>4673.799999999999</v>
      </c>
      <c r="J50" s="53">
        <f>J44+J45+J46+J47+J48+J49</f>
        <v>1677.24</v>
      </c>
      <c r="K50" s="54">
        <f>B50+C50+D50+E50+F50+G50+H50+I50+J50</f>
        <v>17109.99</v>
      </c>
    </row>
    <row r="51" spans="1:11" ht="16" outlineLevel="1">
      <c r="A51" s="42" t="s">
        <v>48</v>
      </c>
      <c r="B51" s="53">
        <f>B30+B31+B32+B33+B34+B42+B43+B50</f>
        <v>8616.43</v>
      </c>
      <c r="C51" s="53">
        <f>C30+C31+C32+C33+C34+C42+C43+C50</f>
        <v>10075.55</v>
      </c>
      <c r="D51" s="53">
        <f>D30+D31+D32+D33+D34+D42+D43+D50</f>
        <v>6710.049999999999</v>
      </c>
      <c r="E51" s="53">
        <f>E30+E31+E32+E33+E34+E42+E43+E50</f>
        <v>28432.430000000004</v>
      </c>
      <c r="F51" s="53">
        <f>F30+F31+F32+F33+F34+F42+F43+F50</f>
        <v>20467.41</v>
      </c>
      <c r="G51" s="53">
        <f>G30+G31+G32+G33+G34+G42+G43+G50</f>
        <v>10147.25</v>
      </c>
      <c r="H51" s="53">
        <f>H30+H31+H32+H33+H34+H42+H43+H50</f>
        <v>26247.059999999998</v>
      </c>
      <c r="I51" s="53">
        <f>I30+I31+I32+I33+I34+I42+I43+I50</f>
        <v>20480.760000000002</v>
      </c>
      <c r="J51" s="53">
        <f>J30+J31+J32+J33+J34+J42+J43+J50</f>
        <v>20124.320000000003</v>
      </c>
      <c r="K51" s="54">
        <f>B51+C51+D51+E51+F51+G51+H51+I51+J51</f>
        <v>151301.26</v>
      </c>
    </row>
    <row r="52" spans="1:11" ht="16" outlineLevel="1">
      <c r="A52" s="40" t="s">
        <v>49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</row>
    <row r="53" spans="1:11" ht="16" outlineLevel="2">
      <c r="A53" s="41" t="s">
        <v>50</v>
      </c>
      <c r="B53" s="52">
        <v>41684.43</v>
      </c>
      <c r="C53" s="52">
        <v>60363.16</v>
      </c>
      <c r="D53" s="52">
        <v>68381.97</v>
      </c>
      <c r="E53" s="52">
        <v>72855.59</v>
      </c>
      <c r="F53" s="52">
        <v>82805.19</v>
      </c>
      <c r="G53" s="52">
        <v>79041.31</v>
      </c>
      <c r="H53" s="52">
        <v>92807.75</v>
      </c>
      <c r="I53" s="52">
        <v>88097.71</v>
      </c>
      <c r="J53" s="52">
        <v>108488.95</v>
      </c>
      <c r="K53" s="52">
        <f>B53+C53+D53+E53+F53+G53+H53+I53+J53</f>
        <v>694526.0599999999</v>
      </c>
    </row>
    <row r="54" spans="1:11" ht="16" outlineLevel="1">
      <c r="A54" s="42" t="s">
        <v>51</v>
      </c>
      <c r="B54" s="53">
        <f>B52+B53</f>
        <v>41684.43</v>
      </c>
      <c r="C54" s="53">
        <f>C52+C53</f>
        <v>60363.16</v>
      </c>
      <c r="D54" s="53">
        <f>D52+D53</f>
        <v>68381.97</v>
      </c>
      <c r="E54" s="53">
        <f>E52+E53</f>
        <v>72855.59</v>
      </c>
      <c r="F54" s="53">
        <f>F52+F53</f>
        <v>82805.19</v>
      </c>
      <c r="G54" s="53">
        <f>G52+G53</f>
        <v>79041.31</v>
      </c>
      <c r="H54" s="53">
        <f>H52+H53</f>
        <v>92807.75</v>
      </c>
      <c r="I54" s="53">
        <f>I52+I53</f>
        <v>88097.71</v>
      </c>
      <c r="J54" s="53">
        <f>J52+J53</f>
        <v>108488.95</v>
      </c>
      <c r="K54" s="54">
        <f>B54+C54+D54+E54+F54+G54+H54+I54+J54</f>
        <v>694526.0599999999</v>
      </c>
    </row>
    <row r="55" spans="1:11" ht="16" outlineLevel="1">
      <c r="A55" s="40" t="s">
        <v>52</v>
      </c>
      <c r="B55" s="51"/>
      <c r="C55" s="51"/>
      <c r="D55" s="51"/>
      <c r="E55" s="51"/>
      <c r="F55" s="51"/>
      <c r="G55" s="51"/>
      <c r="H55" s="51"/>
      <c r="I55" s="51"/>
      <c r="J55" s="51"/>
      <c r="K55" s="51"/>
    </row>
    <row r="56" spans="1:11" ht="16" outlineLevel="2">
      <c r="A56" s="41" t="s">
        <v>53</v>
      </c>
      <c r="B56" s="52">
        <v>356.84</v>
      </c>
      <c r="C56" s="52">
        <v>257.25</v>
      </c>
      <c r="D56" s="52">
        <v>257.25</v>
      </c>
      <c r="E56" s="52">
        <v>514.5</v>
      </c>
      <c r="F56" s="52">
        <v>565.95</v>
      </c>
      <c r="G56" s="52">
        <v>565.95</v>
      </c>
      <c r="H56" s="52">
        <v>514.5</v>
      </c>
      <c r="I56" s="52">
        <v>1120.27</v>
      </c>
      <c r="J56" s="52">
        <v>3711.38</v>
      </c>
      <c r="K56" s="52">
        <f>B56+C56+D56+E56+F56+G56+H56+I56+J56</f>
        <v>7863.89</v>
      </c>
    </row>
    <row r="57" spans="1:11" ht="16" outlineLevel="2">
      <c r="A57" s="41" t="s">
        <v>54</v>
      </c>
      <c r="B57" s="51"/>
      <c r="C57" s="51"/>
      <c r="D57" s="51"/>
      <c r="E57" s="51"/>
      <c r="F57" s="51"/>
      <c r="G57" s="51"/>
      <c r="H57" s="51"/>
      <c r="I57" s="51"/>
      <c r="J57" s="51"/>
      <c r="K57" s="51"/>
    </row>
    <row r="58" spans="1:11" ht="16" outlineLevel="3">
      <c r="A58" s="44" t="s">
        <v>55</v>
      </c>
      <c r="B58" s="51"/>
      <c r="C58" s="51"/>
      <c r="D58" s="51"/>
      <c r="E58" s="51"/>
      <c r="F58" s="51"/>
      <c r="G58" s="51"/>
      <c r="H58" s="51"/>
      <c r="I58" s="51"/>
      <c r="J58" s="52">
        <v>6.99</v>
      </c>
      <c r="K58" s="52">
        <f>B58+C58+D58+E58+F58+G58+H58+I58+J58</f>
        <v>6.99</v>
      </c>
    </row>
    <row r="59" spans="1:11" ht="16" outlineLevel="3">
      <c r="A59" s="44" t="s">
        <v>56</v>
      </c>
      <c r="B59" s="51"/>
      <c r="C59" s="51"/>
      <c r="D59" s="51"/>
      <c r="E59" s="51"/>
      <c r="F59" s="51"/>
      <c r="G59" s="51"/>
      <c r="H59" s="51"/>
      <c r="I59" s="52">
        <v>296.57</v>
      </c>
      <c r="J59" s="51"/>
      <c r="K59" s="52">
        <f>B59+C59+D59+E59+F59+G59+H59+I59+J59</f>
        <v>296.57</v>
      </c>
    </row>
    <row r="60" spans="1:11" ht="16" outlineLevel="2">
      <c r="A60" s="45" t="s">
        <v>57</v>
      </c>
      <c r="B60" s="53"/>
      <c r="C60" s="53"/>
      <c r="D60" s="53"/>
      <c r="E60" s="53"/>
      <c r="F60" s="53"/>
      <c r="G60" s="53"/>
      <c r="H60" s="53"/>
      <c r="I60" s="53">
        <f>I57+I58+I59</f>
        <v>296.57</v>
      </c>
      <c r="J60" s="53">
        <f>J57+J58+J59</f>
        <v>6.99</v>
      </c>
      <c r="K60" s="54">
        <f>B60+C60+D60+E60+F60+G60+H60+I60+J60</f>
        <v>303.56</v>
      </c>
    </row>
    <row r="61" spans="1:11" ht="16" outlineLevel="2">
      <c r="A61" s="41" t="s">
        <v>58</v>
      </c>
      <c r="B61" s="51"/>
      <c r="C61" s="51"/>
      <c r="D61" s="51"/>
      <c r="E61" s="51"/>
      <c r="F61" s="51"/>
      <c r="G61" s="51"/>
      <c r="H61" s="51"/>
      <c r="I61" s="51"/>
      <c r="J61" s="52">
        <v>10.73</v>
      </c>
      <c r="K61" s="52">
        <f>B61+C61+D61+E61+F61+G61+H61+I61+J61</f>
        <v>10.73</v>
      </c>
    </row>
    <row r="62" spans="1:11" ht="16" outlineLevel="1">
      <c r="A62" s="42" t="s">
        <v>59</v>
      </c>
      <c r="B62" s="53">
        <f>B55+B56+B60+B61</f>
        <v>356.84</v>
      </c>
      <c r="C62" s="53">
        <f>C55+C56+C60+C61</f>
        <v>257.25</v>
      </c>
      <c r="D62" s="53">
        <f>D55+D56+D60+D61</f>
        <v>257.25</v>
      </c>
      <c r="E62" s="53">
        <f>E55+E56+E60+E61</f>
        <v>514.5</v>
      </c>
      <c r="F62" s="53">
        <f>F55+F56+F60+F61</f>
        <v>565.95</v>
      </c>
      <c r="G62" s="53">
        <f>G55+G56+G60+G61</f>
        <v>565.95</v>
      </c>
      <c r="H62" s="53">
        <f>H55+H56+H60+H61</f>
        <v>514.5</v>
      </c>
      <c r="I62" s="53">
        <f>I55+I56+I60+I61</f>
        <v>1416.84</v>
      </c>
      <c r="J62" s="53">
        <f>J55+J56+J60+J61</f>
        <v>3729.1</v>
      </c>
      <c r="K62" s="54">
        <f>B62+C62+D62+E62+F62+G62+H62+I62+J62</f>
        <v>8178.18</v>
      </c>
    </row>
    <row r="63" spans="1:11" ht="16" outlineLevel="1">
      <c r="A63" s="40" t="s">
        <v>60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</row>
    <row r="64" spans="1:11" ht="16" outlineLevel="2">
      <c r="A64" s="41" t="s">
        <v>61</v>
      </c>
      <c r="B64" s="51"/>
      <c r="C64" s="51"/>
      <c r="D64" s="51"/>
      <c r="E64" s="51"/>
      <c r="F64" s="51"/>
      <c r="G64" s="52">
        <v>685.0</v>
      </c>
      <c r="H64" s="51"/>
      <c r="I64" s="52">
        <v>1535.84</v>
      </c>
      <c r="J64" s="52">
        <v>1000.0</v>
      </c>
      <c r="K64" s="52">
        <f>B64+C64+D64+E64+F64+G64+H64+I64+J64</f>
        <v>3220.84</v>
      </c>
    </row>
    <row r="65" spans="1:11" ht="16" outlineLevel="3">
      <c r="A65" s="44" t="s">
        <v>62</v>
      </c>
      <c r="B65" s="52">
        <v>296.62</v>
      </c>
      <c r="C65" s="51"/>
      <c r="D65" s="51"/>
      <c r="E65" s="52">
        <v>635.0</v>
      </c>
      <c r="F65" s="52">
        <v>1663.67</v>
      </c>
      <c r="G65" s="52">
        <v>1842.51</v>
      </c>
      <c r="H65" s="52">
        <v>2706.19</v>
      </c>
      <c r="I65" s="52">
        <v>5460.26</v>
      </c>
      <c r="J65" s="52">
        <v>16943.37</v>
      </c>
      <c r="K65" s="52">
        <f>B65+C65+D65+E65+F65+G65+H65+I65+J65</f>
        <v>29547.62</v>
      </c>
    </row>
    <row r="66" spans="1:11" ht="16" outlineLevel="2">
      <c r="A66" s="45" t="s">
        <v>63</v>
      </c>
      <c r="B66" s="53">
        <f>B64+B65</f>
        <v>296.62</v>
      </c>
      <c r="C66" s="53"/>
      <c r="D66" s="53"/>
      <c r="E66" s="53">
        <f>E64+E65</f>
        <v>635.0</v>
      </c>
      <c r="F66" s="53">
        <f>F64+F65</f>
        <v>1663.67</v>
      </c>
      <c r="G66" s="53">
        <f>G64+G65</f>
        <v>2527.51</v>
      </c>
      <c r="H66" s="53">
        <f>H64+H65</f>
        <v>2706.19</v>
      </c>
      <c r="I66" s="53">
        <f>I64+I65</f>
        <v>6996.1</v>
      </c>
      <c r="J66" s="53">
        <f>J64+J65</f>
        <v>17943.37</v>
      </c>
      <c r="K66" s="54">
        <f>B66+C66+D66+E66+F66+G66+H66+I66+J66</f>
        <v>32768.46</v>
      </c>
    </row>
    <row r="67" spans="1:11" ht="16" outlineLevel="2">
      <c r="A67" s="41" t="s">
        <v>64</v>
      </c>
      <c r="B67" s="51"/>
      <c r="C67" s="52">
        <v>1199.0</v>
      </c>
      <c r="D67" s="51"/>
      <c r="E67" s="52">
        <v>113.69</v>
      </c>
      <c r="F67" s="51"/>
      <c r="G67" s="51"/>
      <c r="H67" s="51"/>
      <c r="I67" s="52">
        <v>2000.0</v>
      </c>
      <c r="J67" s="51"/>
      <c r="K67" s="52">
        <f>B67+C67+D67+E67+F67+G67+H67+I67+J67</f>
        <v>3312.69</v>
      </c>
    </row>
    <row r="68" spans="1:11" ht="16" outlineLevel="1">
      <c r="A68" s="42" t="s">
        <v>65</v>
      </c>
      <c r="B68" s="53">
        <f>B63+B66+B67</f>
        <v>296.62</v>
      </c>
      <c r="C68" s="53">
        <f>C63+C66+C67</f>
        <v>1199.0</v>
      </c>
      <c r="D68" s="53"/>
      <c r="E68" s="53">
        <f>E63+E66+E67</f>
        <v>748.69</v>
      </c>
      <c r="F68" s="53">
        <f>F63+F66+F67</f>
        <v>1663.67</v>
      </c>
      <c r="G68" s="53">
        <f>G63+G66+G67</f>
        <v>2527.51</v>
      </c>
      <c r="H68" s="53">
        <f>H63+H66+H67</f>
        <v>2706.19</v>
      </c>
      <c r="I68" s="53">
        <f>I63+I66+I67</f>
        <v>8996.1</v>
      </c>
      <c r="J68" s="53">
        <f>J63+J66+J67</f>
        <v>17943.37</v>
      </c>
      <c r="K68" s="54">
        <f>B68+C68+D68+E68+F68+G68+H68+I68+J68</f>
        <v>36081.149999999994</v>
      </c>
    </row>
    <row r="69" spans="1:11" ht="16">
      <c r="A69" s="43" t="s">
        <v>66</v>
      </c>
      <c r="B69" s="53">
        <f>B51+B54+B62+B68</f>
        <v>50954.32</v>
      </c>
      <c r="C69" s="53">
        <f>C51+C54+C62+C68</f>
        <v>71894.96</v>
      </c>
      <c r="D69" s="53">
        <f>D51+D54+D62+D68</f>
        <v>75349.27</v>
      </c>
      <c r="E69" s="53">
        <f>E51+E54+E62+E68</f>
        <v>102551.21</v>
      </c>
      <c r="F69" s="53">
        <f>F51+F54+F62+F68</f>
        <v>105502.22</v>
      </c>
      <c r="G69" s="53">
        <f>G51+G54+G62+G68</f>
        <v>92282.01999999999</v>
      </c>
      <c r="H69" s="53">
        <f>H51+H54+H62+H68</f>
        <v>122275.5</v>
      </c>
      <c r="I69" s="53">
        <f>I51+I54+I62+I68</f>
        <v>118991.41</v>
      </c>
      <c r="J69" s="53">
        <f>J51+J54+J62+J68</f>
        <v>150285.74</v>
      </c>
      <c r="K69" s="54">
        <f>B69+C69+D69+E69+F69+G69+H69+I69+J69</f>
        <v>890086.65</v>
      </c>
    </row>
    <row r="70" spans="1:11" ht="16">
      <c r="A70" s="43" t="s">
        <v>67</v>
      </c>
      <c r="B70" s="53">
        <f>B28-B69</f>
        <v>-51853.44</v>
      </c>
      <c r="C70" s="53">
        <f>C28-C69</f>
        <v>-63812.57000000001</v>
      </c>
      <c r="D70" s="53">
        <f>D28-D69</f>
        <v>-79916.3</v>
      </c>
      <c r="E70" s="53">
        <f>E28-E69</f>
        <v>-56126.72</v>
      </c>
      <c r="F70" s="53">
        <f>F28-F69</f>
        <v>-62510.85</v>
      </c>
      <c r="G70" s="53">
        <f>G28-G69</f>
        <v>-56645.27</v>
      </c>
      <c r="H70" s="53">
        <f>H28-H69</f>
        <v>-67447.16</v>
      </c>
      <c r="I70" s="53">
        <f>I28-I69</f>
        <v>-63548.01</v>
      </c>
      <c r="J70" s="53">
        <f>J28-J69</f>
        <v>-87975.07999999999</v>
      </c>
      <c r="K70" s="54">
        <f>B70+C70+D70+E70+F70+G70+H70+I70+J70</f>
        <v>-589835.4</v>
      </c>
    </row>
    <row r="71" spans="1:11" ht="16">
      <c r="A71" s="39" t="s">
        <v>68</v>
      </c>
      <c r="B71" s="51"/>
      <c r="C71" s="51"/>
      <c r="D71" s="51"/>
      <c r="E71" s="51"/>
      <c r="F71" s="51"/>
      <c r="G71" s="51"/>
      <c r="H71" s="51"/>
      <c r="I71" s="51"/>
      <c r="J71" s="51"/>
      <c r="K71" s="51"/>
    </row>
    <row r="72" spans="1:10" ht="16">
      <c r="A72" s="39" t="s">
        <v>69</v>
      </c>
      <c r="B72" s="51"/>
      <c r="C72" s="51"/>
      <c r="D72" s="51"/>
      <c r="E72" s="51"/>
      <c r="F72" s="51"/>
      <c r="G72" s="51"/>
      <c r="H72" s="51"/>
      <c r="I72" s="51"/>
      <c r="J72" s="51"/>
    </row>
    <row r="73" spans="1:11" ht="16" outlineLevel="1">
      <c r="A73" s="40" t="s">
        <v>70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</row>
    <row r="74" spans="1:11" ht="16" outlineLevel="2">
      <c r="A74" s="41" t="s">
        <v>71</v>
      </c>
      <c r="B74" s="51"/>
      <c r="C74" s="52">
        <v>125.0</v>
      </c>
      <c r="D74" s="51"/>
      <c r="E74" s="52">
        <v>54.4</v>
      </c>
      <c r="F74" s="51"/>
      <c r="G74" s="51"/>
      <c r="H74" s="51"/>
      <c r="I74" s="52">
        <v>179.66</v>
      </c>
      <c r="J74" s="52">
        <v>40.0</v>
      </c>
      <c r="K74" s="52">
        <f>B74+C74+D74+E74+F74+G74+H74+I74+J74</f>
        <v>399.06</v>
      </c>
    </row>
    <row r="75" spans="1:11" ht="16" outlineLevel="2">
      <c r="A75" s="41" t="s">
        <v>72</v>
      </c>
      <c r="B75" s="52">
        <v>57.3</v>
      </c>
      <c r="C75" s="52">
        <v>29.06</v>
      </c>
      <c r="D75" s="52">
        <v>57.2</v>
      </c>
      <c r="E75" s="52">
        <v>1068.1</v>
      </c>
      <c r="F75" s="52">
        <v>169.62</v>
      </c>
      <c r="G75" s="52">
        <v>50.0</v>
      </c>
      <c r="H75" s="52">
        <v>26.02</v>
      </c>
      <c r="I75" s="52">
        <v>54.29</v>
      </c>
      <c r="J75" s="52">
        <v>58.93</v>
      </c>
      <c r="K75" s="52">
        <f>B75+C75+D75+E75+F75+G75+H75+I75+J75</f>
        <v>1570.5199999999998</v>
      </c>
    </row>
    <row r="76" spans="1:11" ht="16" outlineLevel="1">
      <c r="A76" s="42" t="s">
        <v>73</v>
      </c>
      <c r="B76" s="53">
        <f>B73+B74+B75</f>
        <v>57.3</v>
      </c>
      <c r="C76" s="53">
        <f>C73+C74+C75</f>
        <v>154.06</v>
      </c>
      <c r="D76" s="53">
        <f>D73+D74+D75</f>
        <v>57.2</v>
      </c>
      <c r="E76" s="53">
        <f>E73+E74+E75</f>
        <v>1122.5</v>
      </c>
      <c r="F76" s="53">
        <f>F73+F74+F75</f>
        <v>169.62</v>
      </c>
      <c r="G76" s="53">
        <f>G73+G74+G75</f>
        <v>50.0</v>
      </c>
      <c r="H76" s="53">
        <f>H73+H74+H75</f>
        <v>26.02</v>
      </c>
      <c r="I76" s="53">
        <f>I73+I74+I75</f>
        <v>233.95</v>
      </c>
      <c r="J76" s="53">
        <f>J73+J74+J75</f>
        <v>98.93</v>
      </c>
      <c r="K76" s="54">
        <f>B76+C76+D76+E76+F76+G76+H76+I76+J76</f>
        <v>1969.58</v>
      </c>
    </row>
    <row r="77" spans="1:11" ht="16">
      <c r="A77" s="43" t="s">
        <v>74</v>
      </c>
      <c r="B77" s="53">
        <f>B76</f>
        <v>57.3</v>
      </c>
      <c r="C77" s="53">
        <f>C76</f>
        <v>154.06</v>
      </c>
      <c r="D77" s="53">
        <f>D76</f>
        <v>57.2</v>
      </c>
      <c r="E77" s="53">
        <f>E76</f>
        <v>1122.5</v>
      </c>
      <c r="F77" s="53">
        <f>F76</f>
        <v>169.62</v>
      </c>
      <c r="G77" s="53">
        <f>G76</f>
        <v>50.0</v>
      </c>
      <c r="H77" s="53">
        <f>H76</f>
        <v>26.02</v>
      </c>
      <c r="I77" s="53">
        <f>I76</f>
        <v>233.95</v>
      </c>
      <c r="J77" s="53">
        <f>J76</f>
        <v>98.93</v>
      </c>
      <c r="K77" s="54">
        <f>B77+C77+D77+E77+F77+G77+H77+I77+J77</f>
        <v>1969.58</v>
      </c>
    </row>
    <row r="78" spans="1:11" ht="16">
      <c r="A78" s="43" t="s">
        <v>75</v>
      </c>
      <c r="B78" s="53">
        <f>B71-B77</f>
        <v>-57.3</v>
      </c>
      <c r="C78" s="53">
        <f>C71-C77</f>
        <v>-154.06</v>
      </c>
      <c r="D78" s="53">
        <f>D71-D77</f>
        <v>-57.2</v>
      </c>
      <c r="E78" s="53">
        <f>E71-E77</f>
        <v>-1122.5</v>
      </c>
      <c r="F78" s="53">
        <f>F71-F77</f>
        <v>-169.62</v>
      </c>
      <c r="G78" s="53">
        <f>G71-G77</f>
        <v>-50.0</v>
      </c>
      <c r="H78" s="53">
        <f>H71-H77</f>
        <v>-26.02</v>
      </c>
      <c r="I78" s="53">
        <f>I71-I77</f>
        <v>-233.95</v>
      </c>
      <c r="J78" s="53">
        <f>J71-J77</f>
        <v>-98.93</v>
      </c>
      <c r="K78" s="54">
        <f>B78+C78+D78+E78+F78+G78+H78+I78+J78</f>
        <v>-1969.58</v>
      </c>
    </row>
    <row r="79" spans="1:11" ht="16">
      <c r="A79" s="43" t="s">
        <v>76</v>
      </c>
      <c r="B79" s="53">
        <f>B70+B78</f>
        <v>-51910.740000000005</v>
      </c>
      <c r="C79" s="53">
        <f>C70+C78</f>
        <v>-63966.630000000005</v>
      </c>
      <c r="D79" s="53">
        <f>D70+D78</f>
        <v>-79973.5</v>
      </c>
      <c r="E79" s="53">
        <f>E70+E78</f>
        <v>-57249.22</v>
      </c>
      <c r="F79" s="53">
        <f>F70+F78</f>
        <v>-62680.47</v>
      </c>
      <c r="G79" s="53">
        <f>G70+G78</f>
        <v>-56695.27</v>
      </c>
      <c r="H79" s="53">
        <f>H70+H78</f>
        <v>-67473.18000000001</v>
      </c>
      <c r="I79" s="53">
        <f>I70+I78</f>
        <v>-63781.96</v>
      </c>
      <c r="J79" s="53">
        <f>J70+J78</f>
        <v>-88074.00999999998</v>
      </c>
      <c r="K79" s="54">
        <f>B79+C79+D79+E79+F79+G79+H79+I79+J79</f>
        <v>-591804.98</v>
      </c>
    </row>
    <row r="83" spans="1:1" ht="16">
      <c r="A83" s="55" t="s">
        <v>88</v>
      </c>
    </row>
  </sheetData>
  <mergeCells count="4">
    <mergeCell ref="A1:K1"/>
    <mergeCell ref="A2:K2"/>
    <mergeCell ref="A3:K3"/>
    <mergeCell ref="A83:K8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