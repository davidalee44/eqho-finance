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davidlee/Desktop/"/>
    </mc:Choice>
  </mc:AlternateContent>
  <xr:revisionPtr revIDLastSave="0" documentId="8_{52BC53EB-CC92-9943-BE2B-7FB46FEED50E}" xr6:coauthVersionLast="47" xr6:coauthVersionMax="47" xr10:uidLastSave="{00000000-0000-0000-0000-000000000000}"/>
  <bookViews>
    <workbookView xWindow="7400" yWindow="740" windowWidth="54500" windowHeight="25940" tabRatio="500" xr2:uid="{00000000-000D-0000-FFFF-FFFF00000000}"/>
  </bookViews>
  <sheets>
    <sheet name="Financial Model" sheetId="1" r:id="rId1"/>
    <sheet name="Current Payroll" sheetId="5" r:id="rId2"/>
    <sheet name="Growth Analysis" sheetId="3" r:id="rId3"/>
    <sheet name="Sheet2" sheetId="2" r:id="rId4"/>
    <sheet name="Profit and Loss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W13" i="1" l="1"/>
  <c r="X13" i="1"/>
  <c r="V13" i="1"/>
  <c r="T13" i="1"/>
  <c r="U13" i="1"/>
  <c r="S13" i="1"/>
  <c r="S93" i="1"/>
  <c r="T93" i="1"/>
  <c r="U93" i="1"/>
  <c r="V93" i="1"/>
  <c r="W93" i="1"/>
  <c r="X93" i="1"/>
  <c r="Y93" i="1"/>
  <c r="R93" i="1"/>
  <c r="M58" i="1"/>
  <c r="N58" i="1" s="1"/>
  <c r="O58" i="1" s="1"/>
  <c r="P58" i="1" s="1"/>
  <c r="Q58" i="1" s="1"/>
  <c r="R58" i="1" s="1"/>
  <c r="S58" i="1" s="1"/>
  <c r="T58" i="1" s="1"/>
  <c r="U58" i="1" s="1"/>
  <c r="V58" i="1" s="1"/>
  <c r="W58" i="1" s="1"/>
  <c r="X58" i="1" s="1"/>
  <c r="Y58" i="1" s="1"/>
  <c r="Z58" i="1" s="1"/>
  <c r="AA58" i="1" s="1"/>
  <c r="AB58" i="1" s="1"/>
  <c r="AC58" i="1" s="1"/>
  <c r="AD58" i="1" s="1"/>
  <c r="AE58" i="1" s="1"/>
  <c r="AF58" i="1" s="1"/>
  <c r="AG58" i="1" s="1"/>
  <c r="M59" i="1"/>
  <c r="N59" i="1" s="1"/>
  <c r="O59" i="1" s="1"/>
  <c r="P59" i="1" s="1"/>
  <c r="Q59" i="1" s="1"/>
  <c r="R59" i="1" s="1"/>
  <c r="S59" i="1" s="1"/>
  <c r="T59" i="1" s="1"/>
  <c r="U59" i="1" s="1"/>
  <c r="V59" i="1" s="1"/>
  <c r="W59" i="1" s="1"/>
  <c r="X59" i="1" s="1"/>
  <c r="Y59" i="1" s="1"/>
  <c r="Z59" i="1" s="1"/>
  <c r="AA59" i="1" s="1"/>
  <c r="AB59" i="1" s="1"/>
  <c r="AC59" i="1" s="1"/>
  <c r="AD59" i="1" s="1"/>
  <c r="AE59" i="1" s="1"/>
  <c r="AF59" i="1" s="1"/>
  <c r="AG59" i="1" s="1"/>
  <c r="N54" i="1"/>
  <c r="O54" i="1" s="1"/>
  <c r="P54" i="1" s="1"/>
  <c r="Q54" i="1" s="1"/>
  <c r="R54" i="1" s="1"/>
  <c r="S54" i="1" s="1"/>
  <c r="T54" i="1" s="1"/>
  <c r="U54" i="1" s="1"/>
  <c r="V54" i="1" s="1"/>
  <c r="W54" i="1" s="1"/>
  <c r="X54" i="1" s="1"/>
  <c r="Y54" i="1" s="1"/>
  <c r="Z54" i="1" s="1"/>
  <c r="AA54" i="1" s="1"/>
  <c r="AB54" i="1" s="1"/>
  <c r="AC54" i="1" s="1"/>
  <c r="AD54" i="1" s="1"/>
  <c r="AE54" i="1" s="1"/>
  <c r="AF54" i="1" s="1"/>
  <c r="AG54" i="1" s="1"/>
  <c r="X23" i="1"/>
  <c r="Y23" i="1"/>
  <c r="Z23" i="1"/>
  <c r="AA23" i="1"/>
  <c r="AB23" i="1"/>
  <c r="AC23" i="1"/>
  <c r="AD23" i="1"/>
  <c r="AE23" i="1"/>
  <c r="AF23" i="1"/>
  <c r="AG23" i="1"/>
  <c r="X46" i="1"/>
  <c r="Y46" i="1"/>
  <c r="Z46" i="1"/>
  <c r="AA46" i="1"/>
  <c r="AB46" i="1"/>
  <c r="AC46" i="1"/>
  <c r="AD46" i="1"/>
  <c r="AE46" i="1"/>
  <c r="AF46" i="1"/>
  <c r="AG46" i="1"/>
  <c r="X68" i="1"/>
  <c r="Y68" i="1"/>
  <c r="Z68" i="1"/>
  <c r="AA68" i="1"/>
  <c r="AB68" i="1"/>
  <c r="AC68" i="1"/>
  <c r="AD68" i="1"/>
  <c r="AE68" i="1"/>
  <c r="AF68" i="1"/>
  <c r="AG68" i="1"/>
  <c r="X69" i="1"/>
  <c r="Y69" i="1"/>
  <c r="Z69" i="1"/>
  <c r="AA69" i="1"/>
  <c r="AB69" i="1"/>
  <c r="AC69" i="1"/>
  <c r="AD69" i="1"/>
  <c r="AE69" i="1"/>
  <c r="AF69" i="1"/>
  <c r="AG69" i="1"/>
  <c r="U23" i="1"/>
  <c r="V23" i="1"/>
  <c r="W23" i="1"/>
  <c r="U46" i="1"/>
  <c r="V46" i="1"/>
  <c r="W46" i="1"/>
  <c r="U68" i="1"/>
  <c r="V68" i="1"/>
  <c r="W68" i="1"/>
  <c r="U69" i="1"/>
  <c r="V69" i="1"/>
  <c r="W69" i="1"/>
  <c r="O78" i="1"/>
  <c r="J78" i="1"/>
  <c r="J47" i="1" s="1"/>
  <c r="K47" i="1" s="1"/>
  <c r="L47" i="1" s="1"/>
  <c r="M47" i="1" s="1"/>
  <c r="I19" i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I18" i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I35" i="1"/>
  <c r="I32" i="1"/>
  <c r="J54" i="1"/>
  <c r="K54" i="1"/>
  <c r="L54" i="1"/>
  <c r="M54" i="1"/>
  <c r="I54" i="1"/>
  <c r="K46" i="1"/>
  <c r="J46" i="1"/>
  <c r="L46" i="1"/>
  <c r="M46" i="1"/>
  <c r="N46" i="1"/>
  <c r="O46" i="1"/>
  <c r="P46" i="1"/>
  <c r="Q46" i="1"/>
  <c r="R46" i="1"/>
  <c r="S46" i="1"/>
  <c r="T46" i="1"/>
  <c r="I46" i="1"/>
  <c r="L68" i="1"/>
  <c r="M68" i="1"/>
  <c r="N68" i="1"/>
  <c r="O68" i="1"/>
  <c r="P68" i="1"/>
  <c r="Q68" i="1"/>
  <c r="R68" i="1"/>
  <c r="S68" i="1"/>
  <c r="T68" i="1"/>
  <c r="L69" i="1"/>
  <c r="M69" i="1"/>
  <c r="N69" i="1"/>
  <c r="O69" i="1"/>
  <c r="P69" i="1"/>
  <c r="Q69" i="1"/>
  <c r="R69" i="1"/>
  <c r="S69" i="1"/>
  <c r="T69" i="1"/>
  <c r="K68" i="1"/>
  <c r="K69" i="1"/>
  <c r="J69" i="1"/>
  <c r="J36" i="1" s="1"/>
  <c r="K36" i="1" s="1"/>
  <c r="J68" i="1"/>
  <c r="J33" i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AC33" i="1" s="1"/>
  <c r="AD33" i="1" s="1"/>
  <c r="AE33" i="1" s="1"/>
  <c r="AF33" i="1" s="1"/>
  <c r="AG33" i="1" s="1"/>
  <c r="J34" i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AD34" i="1" s="1"/>
  <c r="AE34" i="1" s="1"/>
  <c r="AF34" i="1" s="1"/>
  <c r="AG34" i="1" s="1"/>
  <c r="K15" i="4"/>
  <c r="I45" i="1"/>
  <c r="J45" i="1" s="1"/>
  <c r="K45" i="1" s="1"/>
  <c r="L45" i="1" s="1"/>
  <c r="M45" i="1" s="1"/>
  <c r="N45" i="1" s="1"/>
  <c r="O45" i="1" s="1"/>
  <c r="P45" i="1" s="1"/>
  <c r="Q45" i="1" s="1"/>
  <c r="R45" i="1" s="1"/>
  <c r="S45" i="1" s="1"/>
  <c r="T45" i="1" s="1"/>
  <c r="U45" i="1" s="1"/>
  <c r="V45" i="1" s="1"/>
  <c r="W45" i="1" s="1"/>
  <c r="X45" i="1" s="1"/>
  <c r="Y45" i="1" s="1"/>
  <c r="Z45" i="1" s="1"/>
  <c r="AA45" i="1" s="1"/>
  <c r="AB45" i="1" s="1"/>
  <c r="AC45" i="1" s="1"/>
  <c r="AD45" i="1" s="1"/>
  <c r="AE45" i="1" s="1"/>
  <c r="AF45" i="1" s="1"/>
  <c r="AG45" i="1" s="1"/>
  <c r="I43" i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G43" i="1" s="1"/>
  <c r="I44" i="1"/>
  <c r="J44" i="1" s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AA44" i="1" s="1"/>
  <c r="AB44" i="1" s="1"/>
  <c r="AC44" i="1" s="1"/>
  <c r="AD44" i="1" s="1"/>
  <c r="AE44" i="1" s="1"/>
  <c r="AF44" i="1" s="1"/>
  <c r="AG44" i="1" s="1"/>
  <c r="C24" i="1"/>
  <c r="C26" i="1" s="1"/>
  <c r="I20" i="1" l="1"/>
  <c r="I37" i="1"/>
  <c r="J32" i="1"/>
  <c r="J35" i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U24" i="1"/>
  <c r="U26" i="1" s="1"/>
  <c r="V19" i="1"/>
  <c r="W19" i="1" s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U20" i="1"/>
  <c r="X18" i="1"/>
  <c r="N47" i="1"/>
  <c r="O47" i="1" s="1"/>
  <c r="P47" i="1" s="1"/>
  <c r="Q47" i="1" s="1"/>
  <c r="R47" i="1" s="1"/>
  <c r="S47" i="1" s="1"/>
  <c r="T47" i="1" s="1"/>
  <c r="U47" i="1" s="1"/>
  <c r="V47" i="1" s="1"/>
  <c r="W47" i="1" s="1"/>
  <c r="X47" i="1" s="1"/>
  <c r="Y47" i="1" s="1"/>
  <c r="Z47" i="1" s="1"/>
  <c r="AA47" i="1" s="1"/>
  <c r="AB47" i="1" s="1"/>
  <c r="AC47" i="1" s="1"/>
  <c r="AD47" i="1" s="1"/>
  <c r="AE47" i="1" s="1"/>
  <c r="AF47" i="1" s="1"/>
  <c r="AG47" i="1" s="1"/>
  <c r="L36" i="1"/>
  <c r="M36" i="1" s="1"/>
  <c r="N36" i="1" s="1"/>
  <c r="O36" i="1" s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AB36" i="1" s="1"/>
  <c r="AC36" i="1" s="1"/>
  <c r="AD36" i="1" s="1"/>
  <c r="AE36" i="1" s="1"/>
  <c r="AF36" i="1" s="1"/>
  <c r="AG36" i="1" s="1"/>
  <c r="K32" i="1"/>
  <c r="W2" i="3"/>
  <c r="L23" i="1"/>
  <c r="M23" i="1"/>
  <c r="N23" i="1"/>
  <c r="O23" i="1"/>
  <c r="P23" i="1"/>
  <c r="Q23" i="1"/>
  <c r="R23" i="1"/>
  <c r="S23" i="1"/>
  <c r="T23" i="1"/>
  <c r="B20" i="5"/>
  <c r="E7" i="4"/>
  <c r="F7" i="4"/>
  <c r="G7" i="4"/>
  <c r="H7" i="4"/>
  <c r="I7" i="4"/>
  <c r="I9" i="4" s="1"/>
  <c r="J7" i="4"/>
  <c r="J9" i="4" s="1"/>
  <c r="K7" i="4"/>
  <c r="K9" i="4" s="1"/>
  <c r="L7" i="4"/>
  <c r="L9" i="4" s="1"/>
  <c r="M7" i="4"/>
  <c r="M9" i="4" s="1"/>
  <c r="M18" i="4" s="1"/>
  <c r="F8" i="4"/>
  <c r="N8" i="4"/>
  <c r="B9" i="4"/>
  <c r="C9" i="4"/>
  <c r="C18" i="4" s="1"/>
  <c r="D9" i="4"/>
  <c r="E9" i="4"/>
  <c r="F9" i="4"/>
  <c r="G9" i="4"/>
  <c r="H9" i="4"/>
  <c r="P10" i="4"/>
  <c r="B11" i="4"/>
  <c r="B17" i="4" s="1"/>
  <c r="C11" i="4"/>
  <c r="C17" i="4" s="1"/>
  <c r="D11" i="4"/>
  <c r="E11" i="4"/>
  <c r="F11" i="4"/>
  <c r="G11" i="4"/>
  <c r="H11" i="4"/>
  <c r="I11" i="4"/>
  <c r="J11" i="4"/>
  <c r="K11" i="4"/>
  <c r="K17" i="4" s="1"/>
  <c r="L11" i="4"/>
  <c r="L17" i="4" s="1"/>
  <c r="P11" i="4"/>
  <c r="B12" i="4"/>
  <c r="C12" i="4"/>
  <c r="D12" i="4"/>
  <c r="D15" i="4" s="1"/>
  <c r="E12" i="4"/>
  <c r="E15" i="4" s="1"/>
  <c r="E17" i="4" s="1"/>
  <c r="F12" i="4"/>
  <c r="F15" i="4" s="1"/>
  <c r="F17" i="4" s="1"/>
  <c r="G12" i="4"/>
  <c r="G15" i="4" s="1"/>
  <c r="H12" i="4"/>
  <c r="H15" i="4" s="1"/>
  <c r="I12" i="4"/>
  <c r="I15" i="4" s="1"/>
  <c r="J12" i="4"/>
  <c r="J15" i="4" s="1"/>
  <c r="K12" i="4"/>
  <c r="L12" i="4"/>
  <c r="B13" i="4"/>
  <c r="C13" i="4"/>
  <c r="D13" i="4"/>
  <c r="N13" i="4" s="1"/>
  <c r="E13" i="4"/>
  <c r="P13" i="4" s="1"/>
  <c r="F13" i="4"/>
  <c r="G13" i="4"/>
  <c r="H13" i="4"/>
  <c r="I13" i="4"/>
  <c r="J13" i="4"/>
  <c r="K13" i="4"/>
  <c r="L13" i="4"/>
  <c r="B14" i="4"/>
  <c r="C14" i="4"/>
  <c r="N14" i="4" s="1"/>
  <c r="D14" i="4"/>
  <c r="P14" i="4" s="1"/>
  <c r="E14" i="4"/>
  <c r="F14" i="4"/>
  <c r="G14" i="4"/>
  <c r="H14" i="4"/>
  <c r="I14" i="4"/>
  <c r="J14" i="4"/>
  <c r="K14" i="4"/>
  <c r="B15" i="4"/>
  <c r="C15" i="4"/>
  <c r="L15" i="4"/>
  <c r="M15" i="4"/>
  <c r="M17" i="4" s="1"/>
  <c r="B16" i="4"/>
  <c r="C16" i="4"/>
  <c r="D16" i="4"/>
  <c r="N16" i="4" s="1"/>
  <c r="E16" i="4"/>
  <c r="P16" i="4" s="1"/>
  <c r="F16" i="4"/>
  <c r="G16" i="4"/>
  <c r="H16" i="4"/>
  <c r="I16" i="4"/>
  <c r="J16" i="4"/>
  <c r="K16" i="4"/>
  <c r="L16" i="4"/>
  <c r="P19" i="4"/>
  <c r="N20" i="4"/>
  <c r="P20" i="4"/>
  <c r="B21" i="4"/>
  <c r="B26" i="4" s="1"/>
  <c r="N21" i="4"/>
  <c r="P21" i="4"/>
  <c r="B22" i="4"/>
  <c r="N22" i="4" s="1"/>
  <c r="C23" i="4"/>
  <c r="D23" i="4"/>
  <c r="N23" i="4" s="1"/>
  <c r="E23" i="4"/>
  <c r="F23" i="4"/>
  <c r="G23" i="4"/>
  <c r="H23" i="4"/>
  <c r="I23" i="4"/>
  <c r="J23" i="4"/>
  <c r="K23" i="4"/>
  <c r="L23" i="4"/>
  <c r="L24" i="4"/>
  <c r="L26" i="4" s="1"/>
  <c r="N24" i="4"/>
  <c r="P24" i="4"/>
  <c r="B25" i="4"/>
  <c r="P25" i="4" s="1"/>
  <c r="E25" i="4"/>
  <c r="E26" i="4" s="1"/>
  <c r="E50" i="4" s="1"/>
  <c r="N25" i="4"/>
  <c r="C26" i="4"/>
  <c r="D26" i="4"/>
  <c r="F26" i="4"/>
  <c r="G26" i="4"/>
  <c r="H26" i="4"/>
  <c r="I26" i="4"/>
  <c r="J26" i="4"/>
  <c r="K26" i="4"/>
  <c r="M26" i="4"/>
  <c r="B27" i="4"/>
  <c r="B29" i="4" s="1"/>
  <c r="C27" i="4"/>
  <c r="C29" i="4" s="1"/>
  <c r="D27" i="4"/>
  <c r="D29" i="4" s="1"/>
  <c r="E27" i="4"/>
  <c r="E29" i="4" s="1"/>
  <c r="F27" i="4"/>
  <c r="F29" i="4" s="1"/>
  <c r="G27" i="4"/>
  <c r="H27" i="4"/>
  <c r="I27" i="4"/>
  <c r="I29" i="4" s="1"/>
  <c r="J27" i="4"/>
  <c r="J29" i="4" s="1"/>
  <c r="K27" i="4"/>
  <c r="K29" i="4" s="1"/>
  <c r="K50" i="4" s="1"/>
  <c r="L27" i="4"/>
  <c r="L29" i="4" s="1"/>
  <c r="M27" i="4"/>
  <c r="M29" i="4" s="1"/>
  <c r="E28" i="4"/>
  <c r="N28" i="4" s="1"/>
  <c r="F28" i="4"/>
  <c r="G29" i="4"/>
  <c r="H29" i="4"/>
  <c r="N30" i="4"/>
  <c r="P30" i="4"/>
  <c r="B31" i="4"/>
  <c r="P31" i="4" s="1"/>
  <c r="D31" i="4"/>
  <c r="E31" i="4"/>
  <c r="F31" i="4"/>
  <c r="G31" i="4"/>
  <c r="H31" i="4"/>
  <c r="I31" i="4"/>
  <c r="J31" i="4"/>
  <c r="K31" i="4"/>
  <c r="K32" i="4" s="1"/>
  <c r="L31" i="4"/>
  <c r="L32" i="4" s="1"/>
  <c r="N31" i="4"/>
  <c r="C32" i="4"/>
  <c r="D32" i="4"/>
  <c r="E32" i="4"/>
  <c r="F32" i="4"/>
  <c r="G32" i="4"/>
  <c r="H32" i="4"/>
  <c r="I32" i="4"/>
  <c r="J32" i="4"/>
  <c r="M32" i="4"/>
  <c r="N33" i="4"/>
  <c r="P33" i="4"/>
  <c r="I34" i="4"/>
  <c r="I35" i="4" s="1"/>
  <c r="J34" i="4"/>
  <c r="J35" i="4" s="1"/>
  <c r="K34" i="4"/>
  <c r="K35" i="4" s="1"/>
  <c r="L34" i="4"/>
  <c r="B35" i="4"/>
  <c r="C35" i="4"/>
  <c r="D35" i="4"/>
  <c r="N35" i="4" s="1"/>
  <c r="E35" i="4"/>
  <c r="P35" i="4" s="1"/>
  <c r="F35" i="4"/>
  <c r="G35" i="4"/>
  <c r="H35" i="4"/>
  <c r="L35" i="4"/>
  <c r="M35" i="4"/>
  <c r="B36" i="4"/>
  <c r="N36" i="4" s="1"/>
  <c r="E36" i="4"/>
  <c r="E40" i="4" s="1"/>
  <c r="G36" i="4"/>
  <c r="G40" i="4" s="1"/>
  <c r="H36" i="4"/>
  <c r="I36" i="4"/>
  <c r="J36" i="4"/>
  <c r="D37" i="4"/>
  <c r="P37" i="4" s="1"/>
  <c r="E37" i="4"/>
  <c r="G37" i="4"/>
  <c r="H37" i="4"/>
  <c r="H40" i="4" s="1"/>
  <c r="N37" i="4"/>
  <c r="B38" i="4"/>
  <c r="C38" i="4"/>
  <c r="C40" i="4" s="1"/>
  <c r="D38" i="4"/>
  <c r="E38" i="4"/>
  <c r="N38" i="4" s="1"/>
  <c r="F38" i="4"/>
  <c r="P38" i="4" s="1"/>
  <c r="G38" i="4"/>
  <c r="H38" i="4"/>
  <c r="I38" i="4"/>
  <c r="I40" i="4" s="1"/>
  <c r="J38" i="4"/>
  <c r="J40" i="4" s="1"/>
  <c r="K38" i="4"/>
  <c r="L38" i="4"/>
  <c r="M38" i="4"/>
  <c r="M40" i="4" s="1"/>
  <c r="B39" i="4"/>
  <c r="C39" i="4"/>
  <c r="N39" i="4"/>
  <c r="P39" i="4"/>
  <c r="B40" i="4"/>
  <c r="K40" i="4"/>
  <c r="L40" i="4"/>
  <c r="N41" i="4"/>
  <c r="P41" i="4"/>
  <c r="B42" i="4"/>
  <c r="B44" i="4" s="1"/>
  <c r="C42" i="4"/>
  <c r="C44" i="4" s="1"/>
  <c r="C45" i="4" s="1"/>
  <c r="D42" i="4"/>
  <c r="D44" i="4" s="1"/>
  <c r="D45" i="4" s="1"/>
  <c r="E42" i="4"/>
  <c r="E44" i="4" s="1"/>
  <c r="E45" i="4" s="1"/>
  <c r="F42" i="4"/>
  <c r="F44" i="4" s="1"/>
  <c r="F45" i="4" s="1"/>
  <c r="G42" i="4"/>
  <c r="H42" i="4"/>
  <c r="I42" i="4"/>
  <c r="J42" i="4"/>
  <c r="K42" i="4"/>
  <c r="K44" i="4" s="1"/>
  <c r="K45" i="4" s="1"/>
  <c r="L42" i="4"/>
  <c r="L44" i="4" s="1"/>
  <c r="L45" i="4" s="1"/>
  <c r="M42" i="4"/>
  <c r="M44" i="4" s="1"/>
  <c r="M45" i="4" s="1"/>
  <c r="B43" i="4"/>
  <c r="P43" i="4" s="1"/>
  <c r="C43" i="4"/>
  <c r="D43" i="4"/>
  <c r="E43" i="4"/>
  <c r="G43" i="4"/>
  <c r="H43" i="4"/>
  <c r="I43" i="4"/>
  <c r="J43" i="4"/>
  <c r="K43" i="4"/>
  <c r="L43" i="4"/>
  <c r="N43" i="4"/>
  <c r="G44" i="4"/>
  <c r="G45" i="4" s="1"/>
  <c r="H44" i="4"/>
  <c r="H45" i="4" s="1"/>
  <c r="I44" i="4"/>
  <c r="I45" i="4" s="1"/>
  <c r="J44" i="4"/>
  <c r="J45" i="4" s="1"/>
  <c r="B46" i="4"/>
  <c r="B49" i="4" s="1"/>
  <c r="E46" i="4"/>
  <c r="B47" i="4"/>
  <c r="N47" i="4"/>
  <c r="P47" i="4"/>
  <c r="B48" i="4"/>
  <c r="E48" i="4"/>
  <c r="E49" i="4" s="1"/>
  <c r="N48" i="4"/>
  <c r="P48" i="4"/>
  <c r="C49" i="4"/>
  <c r="D49" i="4"/>
  <c r="F49" i="4"/>
  <c r="G49" i="4"/>
  <c r="H49" i="4"/>
  <c r="I49" i="4"/>
  <c r="J49" i="4"/>
  <c r="K49" i="4"/>
  <c r="L49" i="4"/>
  <c r="M49" i="4"/>
  <c r="N53" i="4"/>
  <c r="B54" i="4"/>
  <c r="E54" i="4"/>
  <c r="E56" i="4" s="1"/>
  <c r="E57" i="4" s="1"/>
  <c r="E58" i="4" s="1"/>
  <c r="N54" i="4"/>
  <c r="B55" i="4"/>
  <c r="C55" i="4"/>
  <c r="D55" i="4"/>
  <c r="D56" i="4" s="1"/>
  <c r="D57" i="4" s="1"/>
  <c r="D58" i="4" s="1"/>
  <c r="E55" i="4"/>
  <c r="F55" i="4"/>
  <c r="G55" i="4"/>
  <c r="H55" i="4"/>
  <c r="I55" i="4"/>
  <c r="J55" i="4"/>
  <c r="K55" i="4"/>
  <c r="L55" i="4"/>
  <c r="B56" i="4"/>
  <c r="C56" i="4"/>
  <c r="C57" i="4" s="1"/>
  <c r="C58" i="4" s="1"/>
  <c r="F56" i="4"/>
  <c r="G56" i="4"/>
  <c r="H56" i="4"/>
  <c r="I56" i="4"/>
  <c r="J56" i="4"/>
  <c r="K56" i="4"/>
  <c r="K57" i="4" s="1"/>
  <c r="K58" i="4" s="1"/>
  <c r="L56" i="4"/>
  <c r="L57" i="4" s="1"/>
  <c r="L58" i="4" s="1"/>
  <c r="M56" i="4"/>
  <c r="M57" i="4" s="1"/>
  <c r="M58" i="4" s="1"/>
  <c r="F57" i="4"/>
  <c r="G57" i="4"/>
  <c r="H57" i="4"/>
  <c r="H58" i="4" s="1"/>
  <c r="I57" i="4"/>
  <c r="I58" i="4" s="1"/>
  <c r="J57" i="4"/>
  <c r="J58" i="4" s="1"/>
  <c r="F58" i="4"/>
  <c r="G58" i="4"/>
  <c r="V24" i="1" l="1"/>
  <c r="V26" i="1" s="1"/>
  <c r="W20" i="1"/>
  <c r="W51" i="1" s="1"/>
  <c r="V20" i="1"/>
  <c r="V52" i="1" s="1"/>
  <c r="W24" i="1"/>
  <c r="W26" i="1" s="1"/>
  <c r="W52" i="1"/>
  <c r="W49" i="1"/>
  <c r="W50" i="1"/>
  <c r="U52" i="1"/>
  <c r="U51" i="1"/>
  <c r="U49" i="1"/>
  <c r="U50" i="1"/>
  <c r="Y35" i="1"/>
  <c r="Z35" i="1" s="1"/>
  <c r="Y18" i="1"/>
  <c r="X24" i="1"/>
  <c r="X26" i="1" s="1"/>
  <c r="X20" i="1"/>
  <c r="L32" i="1"/>
  <c r="L18" i="4"/>
  <c r="I50" i="4"/>
  <c r="I17" i="4"/>
  <c r="L50" i="4"/>
  <c r="F18" i="4"/>
  <c r="I18" i="4"/>
  <c r="I51" i="4" s="1"/>
  <c r="I59" i="4" s="1"/>
  <c r="P49" i="4"/>
  <c r="N49" i="4"/>
  <c r="D50" i="4"/>
  <c r="J50" i="4"/>
  <c r="J17" i="4"/>
  <c r="K18" i="4"/>
  <c r="K51" i="4" s="1"/>
  <c r="K59" i="4" s="1"/>
  <c r="N44" i="4"/>
  <c r="P44" i="4"/>
  <c r="B45" i="4"/>
  <c r="G50" i="4"/>
  <c r="H17" i="4"/>
  <c r="H18" i="4" s="1"/>
  <c r="H51" i="4" s="1"/>
  <c r="H59" i="4" s="1"/>
  <c r="G17" i="4"/>
  <c r="G18" i="4" s="1"/>
  <c r="G51" i="4" s="1"/>
  <c r="G59" i="4" s="1"/>
  <c r="N15" i="4"/>
  <c r="M50" i="4"/>
  <c r="M51" i="4" s="1"/>
  <c r="M59" i="4" s="1"/>
  <c r="C50" i="4"/>
  <c r="C51" i="4" s="1"/>
  <c r="C59" i="4" s="1"/>
  <c r="N26" i="4"/>
  <c r="P26" i="4"/>
  <c r="B50" i="4"/>
  <c r="D17" i="4"/>
  <c r="P17" i="4" s="1"/>
  <c r="B18" i="4"/>
  <c r="N56" i="4"/>
  <c r="H50" i="4"/>
  <c r="J18" i="4"/>
  <c r="J51" i="4" s="1"/>
  <c r="J59" i="4" s="1"/>
  <c r="F50" i="4"/>
  <c r="P9" i="4"/>
  <c r="N29" i="4"/>
  <c r="P29" i="4"/>
  <c r="P27" i="4"/>
  <c r="P36" i="4"/>
  <c r="F40" i="4"/>
  <c r="P23" i="4"/>
  <c r="P40" i="4"/>
  <c r="P34" i="4"/>
  <c r="P28" i="4"/>
  <c r="E18" i="4"/>
  <c r="E51" i="4" s="1"/>
  <c r="E59" i="4" s="1"/>
  <c r="P12" i="4"/>
  <c r="N7" i="4"/>
  <c r="N55" i="4"/>
  <c r="N27" i="4"/>
  <c r="N9" i="4"/>
  <c r="B57" i="4"/>
  <c r="N46" i="4"/>
  <c r="P22" i="4"/>
  <c r="P15" i="4"/>
  <c r="N12" i="4"/>
  <c r="P42" i="4"/>
  <c r="N11" i="4"/>
  <c r="N42" i="4"/>
  <c r="P46" i="4"/>
  <c r="D40" i="4"/>
  <c r="N40" i="4" s="1"/>
  <c r="N34" i="4"/>
  <c r="B32" i="4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B85" i="2"/>
  <c r="C85" i="2"/>
  <c r="D85" i="2"/>
  <c r="K85" i="2"/>
  <c r="L85" i="2"/>
  <c r="M85" i="2"/>
  <c r="N85" i="2"/>
  <c r="O85" i="2"/>
  <c r="P85" i="2"/>
  <c r="Q85" i="2"/>
  <c r="R85" i="2"/>
  <c r="S85" i="2"/>
  <c r="T85" i="2"/>
  <c r="U85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E2" i="2"/>
  <c r="H2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C74" i="2"/>
  <c r="D74" i="2"/>
  <c r="E74" i="2"/>
  <c r="F74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A2" i="2"/>
  <c r="B2" i="2"/>
  <c r="A3" i="2"/>
  <c r="B3" i="2"/>
  <c r="A4" i="2"/>
  <c r="B4" i="2"/>
  <c r="A5" i="2"/>
  <c r="B6" i="2"/>
  <c r="A7" i="2"/>
  <c r="A8" i="2"/>
  <c r="A9" i="2"/>
  <c r="A10" i="2"/>
  <c r="A11" i="2"/>
  <c r="B11" i="2"/>
  <c r="A12" i="2"/>
  <c r="B12" i="2"/>
  <c r="A13" i="2"/>
  <c r="A14" i="2"/>
  <c r="B14" i="2"/>
  <c r="A15" i="2"/>
  <c r="B15" i="2"/>
  <c r="A16" i="2"/>
  <c r="A17" i="2"/>
  <c r="A18" i="2"/>
  <c r="A19" i="2"/>
  <c r="A20" i="2"/>
  <c r="B20" i="2"/>
  <c r="A21" i="2"/>
  <c r="B21" i="2"/>
  <c r="A22" i="2"/>
  <c r="A23" i="2"/>
  <c r="A24" i="2"/>
  <c r="B24" i="2"/>
  <c r="A25" i="2"/>
  <c r="A26" i="2"/>
  <c r="A27" i="2"/>
  <c r="A28" i="2"/>
  <c r="B28" i="2"/>
  <c r="A29" i="2"/>
  <c r="A30" i="2"/>
  <c r="A31" i="2"/>
  <c r="B31" i="2"/>
  <c r="A32" i="2"/>
  <c r="A33" i="2"/>
  <c r="A34" i="2"/>
  <c r="A35" i="2"/>
  <c r="A36" i="2"/>
  <c r="A37" i="2"/>
  <c r="A38" i="2"/>
  <c r="B38" i="2"/>
  <c r="A39" i="2"/>
  <c r="B39" i="2"/>
  <c r="A40" i="2"/>
  <c r="B40" i="2"/>
  <c r="A41" i="2"/>
  <c r="B41" i="2"/>
  <c r="A42" i="2"/>
  <c r="B42" i="2"/>
  <c r="A43" i="2"/>
  <c r="B43" i="2"/>
  <c r="A44" i="2"/>
  <c r="B44" i="2"/>
  <c r="A45" i="2"/>
  <c r="A46" i="2"/>
  <c r="A47" i="2"/>
  <c r="A48" i="2"/>
  <c r="A49" i="2"/>
  <c r="A50" i="2"/>
  <c r="A51" i="2"/>
  <c r="B51" i="2"/>
  <c r="A52" i="2"/>
  <c r="A53" i="2"/>
  <c r="B53" i="2"/>
  <c r="A54" i="2"/>
  <c r="B54" i="2"/>
  <c r="A55" i="2"/>
  <c r="B55" i="2"/>
  <c r="A56" i="2"/>
  <c r="A57" i="2"/>
  <c r="A58" i="2"/>
  <c r="A59" i="2"/>
  <c r="A60" i="2"/>
  <c r="A61" i="2"/>
  <c r="A62" i="2"/>
  <c r="A63" i="2"/>
  <c r="A64" i="2"/>
  <c r="A65" i="2"/>
  <c r="A66" i="2"/>
  <c r="A67" i="2"/>
  <c r="B67" i="2"/>
  <c r="A68" i="2"/>
  <c r="A69" i="2"/>
  <c r="B69" i="2"/>
  <c r="A70" i="2"/>
  <c r="A71" i="2"/>
  <c r="B71" i="2"/>
  <c r="A72" i="2"/>
  <c r="B72" i="2"/>
  <c r="A73" i="2"/>
  <c r="B73" i="2"/>
  <c r="A74" i="2"/>
  <c r="B74" i="2"/>
  <c r="A75" i="2"/>
  <c r="B75" i="2"/>
  <c r="A76" i="2"/>
  <c r="B76" i="2"/>
  <c r="A77" i="2"/>
  <c r="B77" i="2"/>
  <c r="A78" i="2"/>
  <c r="B78" i="2"/>
  <c r="B1" i="2"/>
  <c r="A1" i="2"/>
  <c r="N5" i="2"/>
  <c r="O5" i="2"/>
  <c r="P5" i="2"/>
  <c r="Q5" i="2"/>
  <c r="R5" i="2"/>
  <c r="S5" i="2"/>
  <c r="T5" i="2"/>
  <c r="U5" i="2"/>
  <c r="F24" i="1"/>
  <c r="F20" i="1"/>
  <c r="C5" i="2"/>
  <c r="D5" i="2"/>
  <c r="E5" i="2"/>
  <c r="F5" i="2"/>
  <c r="G5" i="2"/>
  <c r="H5" i="2"/>
  <c r="I5" i="2"/>
  <c r="J5" i="2"/>
  <c r="K5" i="2"/>
  <c r="L5" i="2"/>
  <c r="M5" i="2"/>
  <c r="B5" i="2"/>
  <c r="E18" i="2"/>
  <c r="B17" i="2"/>
  <c r="B18" i="2"/>
  <c r="G18" i="2"/>
  <c r="I41" i="1"/>
  <c r="I42" i="1"/>
  <c r="B57" i="2" s="1"/>
  <c r="M37" i="2"/>
  <c r="K23" i="1"/>
  <c r="D22" i="2" s="1"/>
  <c r="I23" i="1"/>
  <c r="B22" i="2" s="1"/>
  <c r="J23" i="1"/>
  <c r="C22" i="2" s="1"/>
  <c r="F41" i="1"/>
  <c r="F42" i="1"/>
  <c r="F55" i="1"/>
  <c r="F56" i="1"/>
  <c r="F57" i="1"/>
  <c r="F58" i="1"/>
  <c r="F59" i="1"/>
  <c r="I17" i="1"/>
  <c r="B16" i="2" s="1"/>
  <c r="V49" i="1" l="1"/>
  <c r="V51" i="1"/>
  <c r="V50" i="1"/>
  <c r="W56" i="1"/>
  <c r="U56" i="1"/>
  <c r="V56" i="1"/>
  <c r="X49" i="1"/>
  <c r="X50" i="1"/>
  <c r="X51" i="1"/>
  <c r="X52" i="1"/>
  <c r="Z18" i="1"/>
  <c r="Y24" i="1"/>
  <c r="Y26" i="1" s="1"/>
  <c r="Y20" i="1"/>
  <c r="AA35" i="1"/>
  <c r="J41" i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M32" i="1"/>
  <c r="B56" i="2"/>
  <c r="I57" i="1"/>
  <c r="J57" i="1" s="1"/>
  <c r="K57" i="1" s="1"/>
  <c r="L57" i="1" s="1"/>
  <c r="M57" i="1" s="1"/>
  <c r="N57" i="1" s="1"/>
  <c r="O57" i="1" s="1"/>
  <c r="P57" i="1" s="1"/>
  <c r="Q57" i="1" s="1"/>
  <c r="R57" i="1" s="1"/>
  <c r="S57" i="1" s="1"/>
  <c r="T57" i="1" s="1"/>
  <c r="U57" i="1" s="1"/>
  <c r="V57" i="1" s="1"/>
  <c r="W57" i="1" s="1"/>
  <c r="X57" i="1" s="1"/>
  <c r="Y57" i="1" s="1"/>
  <c r="Z57" i="1" s="1"/>
  <c r="AA57" i="1" s="1"/>
  <c r="AB57" i="1" s="1"/>
  <c r="AC57" i="1" s="1"/>
  <c r="AD57" i="1" s="1"/>
  <c r="AE57" i="1" s="1"/>
  <c r="AF57" i="1" s="1"/>
  <c r="AG57" i="1" s="1"/>
  <c r="L24" i="1"/>
  <c r="E23" i="2" s="1"/>
  <c r="J42" i="1"/>
  <c r="C57" i="2" s="1"/>
  <c r="H37" i="2"/>
  <c r="G37" i="2"/>
  <c r="F37" i="2"/>
  <c r="B49" i="2"/>
  <c r="E37" i="2"/>
  <c r="G2" i="2"/>
  <c r="D37" i="2"/>
  <c r="E17" i="2"/>
  <c r="F2" i="2"/>
  <c r="C37" i="2"/>
  <c r="L37" i="2"/>
  <c r="D2" i="2"/>
  <c r="B37" i="2"/>
  <c r="K37" i="2"/>
  <c r="C2" i="2"/>
  <c r="J37" i="2"/>
  <c r="I37" i="2"/>
  <c r="N49" i="2"/>
  <c r="M49" i="2"/>
  <c r="C49" i="2"/>
  <c r="L49" i="2"/>
  <c r="K49" i="2"/>
  <c r="J49" i="2"/>
  <c r="I49" i="2"/>
  <c r="H49" i="2"/>
  <c r="G49" i="2"/>
  <c r="F49" i="2"/>
  <c r="E49" i="2"/>
  <c r="D49" i="2"/>
  <c r="B51" i="4"/>
  <c r="N17" i="4"/>
  <c r="N50" i="4"/>
  <c r="P50" i="4"/>
  <c r="N45" i="4"/>
  <c r="P45" i="4"/>
  <c r="F51" i="4"/>
  <c r="F59" i="4" s="1"/>
  <c r="B58" i="4"/>
  <c r="N58" i="4" s="1"/>
  <c r="N57" i="4"/>
  <c r="N32" i="4"/>
  <c r="P32" i="4"/>
  <c r="D18" i="4"/>
  <c r="D51" i="4" s="1"/>
  <c r="D59" i="4" s="1"/>
  <c r="L51" i="4"/>
  <c r="L59" i="4" s="1"/>
  <c r="I24" i="1"/>
  <c r="C17" i="2"/>
  <c r="D17" i="2"/>
  <c r="F25" i="1"/>
  <c r="F27" i="1" s="1"/>
  <c r="F18" i="2"/>
  <c r="D18" i="2"/>
  <c r="L20" i="1"/>
  <c r="C27" i="1"/>
  <c r="D56" i="2" l="1"/>
  <c r="I56" i="2"/>
  <c r="L56" i="2"/>
  <c r="C56" i="2"/>
  <c r="G56" i="2"/>
  <c r="K56" i="2"/>
  <c r="X56" i="1"/>
  <c r="M56" i="2"/>
  <c r="U41" i="1"/>
  <c r="N56" i="2" s="1"/>
  <c r="Y49" i="1"/>
  <c r="Y50" i="1"/>
  <c r="Y51" i="1"/>
  <c r="Y52" i="1"/>
  <c r="Z20" i="1"/>
  <c r="AA18" i="1"/>
  <c r="Z24" i="1"/>
  <c r="Z26" i="1" s="1"/>
  <c r="AB35" i="1"/>
  <c r="I52" i="1"/>
  <c r="I51" i="1"/>
  <c r="I50" i="1"/>
  <c r="E19" i="2"/>
  <c r="L52" i="1"/>
  <c r="L49" i="1"/>
  <c r="L50" i="1"/>
  <c r="L51" i="1"/>
  <c r="H56" i="2"/>
  <c r="I49" i="1"/>
  <c r="E56" i="2"/>
  <c r="J56" i="2"/>
  <c r="F56" i="2"/>
  <c r="N32" i="1"/>
  <c r="B62" i="2"/>
  <c r="P37" i="2"/>
  <c r="Q37" i="2"/>
  <c r="R37" i="2"/>
  <c r="K42" i="1"/>
  <c r="L42" i="1" s="1"/>
  <c r="I26" i="1"/>
  <c r="B23" i="2"/>
  <c r="B47" i="2"/>
  <c r="B33" i="2"/>
  <c r="B35" i="2"/>
  <c r="B34" i="2"/>
  <c r="B19" i="2"/>
  <c r="O37" i="2"/>
  <c r="M24" i="1"/>
  <c r="F23" i="2" s="1"/>
  <c r="F17" i="2"/>
  <c r="N20" i="1"/>
  <c r="N24" i="1"/>
  <c r="G23" i="2" s="1"/>
  <c r="G17" i="2"/>
  <c r="T37" i="2"/>
  <c r="S37" i="2"/>
  <c r="J20" i="1"/>
  <c r="C18" i="2"/>
  <c r="U37" i="2"/>
  <c r="N37" i="2"/>
  <c r="C62" i="2"/>
  <c r="O49" i="2"/>
  <c r="N51" i="4"/>
  <c r="P51" i="4"/>
  <c r="B59" i="4"/>
  <c r="N59" i="4" s="1"/>
  <c r="P18" i="4"/>
  <c r="N18" i="4"/>
  <c r="I7" i="1"/>
  <c r="B48" i="2"/>
  <c r="B68" i="2"/>
  <c r="I59" i="1"/>
  <c r="B66" i="2" s="1"/>
  <c r="B65" i="2"/>
  <c r="B61" i="2"/>
  <c r="B50" i="2"/>
  <c r="B36" i="2"/>
  <c r="I58" i="1"/>
  <c r="B63" i="2" s="1"/>
  <c r="J17" i="1"/>
  <c r="C16" i="2" s="1"/>
  <c r="I55" i="1"/>
  <c r="B64" i="2"/>
  <c r="I56" i="1"/>
  <c r="B60" i="2" s="1"/>
  <c r="K20" i="1"/>
  <c r="M20" i="1"/>
  <c r="I2" i="2"/>
  <c r="H18" i="2"/>
  <c r="K24" i="1"/>
  <c r="L26" i="1"/>
  <c r="E25" i="2" s="1"/>
  <c r="C61" i="1"/>
  <c r="F43" i="1"/>
  <c r="V41" i="1" l="1"/>
  <c r="W41" i="1" s="1"/>
  <c r="Y56" i="1"/>
  <c r="AA24" i="1"/>
  <c r="AA26" i="1" s="1"/>
  <c r="AA20" i="1"/>
  <c r="AB18" i="1"/>
  <c r="Z49" i="1"/>
  <c r="Z50" i="1"/>
  <c r="Z51" i="1"/>
  <c r="Z52" i="1"/>
  <c r="AC35" i="1"/>
  <c r="I61" i="1"/>
  <c r="J52" i="1"/>
  <c r="J51" i="1"/>
  <c r="J49" i="1"/>
  <c r="J50" i="1"/>
  <c r="F19" i="2"/>
  <c r="M52" i="1"/>
  <c r="M49" i="1"/>
  <c r="M50" i="1"/>
  <c r="M51" i="1"/>
  <c r="G19" i="2"/>
  <c r="N52" i="1"/>
  <c r="N51" i="1"/>
  <c r="N49" i="1"/>
  <c r="N50" i="1"/>
  <c r="K49" i="1"/>
  <c r="K50" i="1"/>
  <c r="K52" i="1"/>
  <c r="K51" i="1"/>
  <c r="O56" i="2"/>
  <c r="B59" i="2"/>
  <c r="O32" i="1"/>
  <c r="D57" i="2"/>
  <c r="B32" i="2"/>
  <c r="B46" i="2"/>
  <c r="N26" i="1"/>
  <c r="G25" i="2" s="1"/>
  <c r="K26" i="1"/>
  <c r="D25" i="2" s="1"/>
  <c r="D23" i="2"/>
  <c r="B7" i="2"/>
  <c r="C34" i="2"/>
  <c r="C19" i="2"/>
  <c r="M26" i="1"/>
  <c r="F25" i="2" s="1"/>
  <c r="O24" i="1"/>
  <c r="H23" i="2" s="1"/>
  <c r="H17" i="2"/>
  <c r="D35" i="2"/>
  <c r="D19" i="2"/>
  <c r="I27" i="1"/>
  <c r="B25" i="2"/>
  <c r="M42" i="1"/>
  <c r="E57" i="2"/>
  <c r="D62" i="2"/>
  <c r="P49" i="2"/>
  <c r="O20" i="1"/>
  <c r="J2" i="2"/>
  <c r="I18" i="2"/>
  <c r="D34" i="2"/>
  <c r="D65" i="2"/>
  <c r="K55" i="1"/>
  <c r="D59" i="2" s="1"/>
  <c r="D61" i="2"/>
  <c r="K58" i="1"/>
  <c r="D63" i="2" s="1"/>
  <c r="D68" i="2"/>
  <c r="D50" i="2"/>
  <c r="D64" i="2"/>
  <c r="D36" i="2"/>
  <c r="K56" i="1"/>
  <c r="D60" i="2" s="1"/>
  <c r="K59" i="1"/>
  <c r="D66" i="2" s="1"/>
  <c r="D33" i="2"/>
  <c r="F64" i="2"/>
  <c r="M55" i="1"/>
  <c r="F59" i="2" s="1"/>
  <c r="F68" i="2"/>
  <c r="F34" i="2"/>
  <c r="F61" i="2"/>
  <c r="F33" i="2"/>
  <c r="F50" i="2"/>
  <c r="F63" i="2"/>
  <c r="F65" i="2"/>
  <c r="M56" i="1"/>
  <c r="F60" i="2" s="1"/>
  <c r="F35" i="2"/>
  <c r="F36" i="2"/>
  <c r="F66" i="2"/>
  <c r="D58" i="2"/>
  <c r="G58" i="2"/>
  <c r="F61" i="1"/>
  <c r="F58" i="2"/>
  <c r="Z56" i="1" l="1"/>
  <c r="N56" i="1"/>
  <c r="X41" i="1"/>
  <c r="AB20" i="1"/>
  <c r="AB24" i="1"/>
  <c r="AB26" i="1" s="1"/>
  <c r="AC18" i="1"/>
  <c r="AA49" i="1"/>
  <c r="AA50" i="1"/>
  <c r="AA51" i="1"/>
  <c r="AA52" i="1"/>
  <c r="AD35" i="1"/>
  <c r="I62" i="1"/>
  <c r="H19" i="2"/>
  <c r="O51" i="1"/>
  <c r="O52" i="1"/>
  <c r="O49" i="1"/>
  <c r="O50" i="1"/>
  <c r="J21" i="1"/>
  <c r="C20" i="2" s="1"/>
  <c r="B52" i="2"/>
  <c r="D32" i="2"/>
  <c r="F32" i="2"/>
  <c r="P32" i="1"/>
  <c r="P24" i="1"/>
  <c r="I23" i="2" s="1"/>
  <c r="I17" i="2"/>
  <c r="B26" i="2"/>
  <c r="I8" i="1"/>
  <c r="B8" i="2" s="1"/>
  <c r="I9" i="1"/>
  <c r="B9" i="2" s="1"/>
  <c r="O26" i="1"/>
  <c r="H25" i="2" s="1"/>
  <c r="B58" i="2"/>
  <c r="Q49" i="2"/>
  <c r="E62" i="2"/>
  <c r="M61" i="1"/>
  <c r="M93" i="1" s="1"/>
  <c r="F85" i="2" s="1"/>
  <c r="N42" i="1"/>
  <c r="F57" i="2"/>
  <c r="P20" i="1"/>
  <c r="K2" i="2"/>
  <c r="J18" i="2"/>
  <c r="K61" i="1"/>
  <c r="E58" i="2"/>
  <c r="E64" i="2"/>
  <c r="L59" i="1"/>
  <c r="E66" i="2" s="1"/>
  <c r="E34" i="2"/>
  <c r="E61" i="2"/>
  <c r="E33" i="2"/>
  <c r="L56" i="1"/>
  <c r="E60" i="2" s="1"/>
  <c r="E36" i="2"/>
  <c r="E35" i="2"/>
  <c r="L58" i="1"/>
  <c r="E63" i="2" s="1"/>
  <c r="L55" i="1"/>
  <c r="E59" i="2" s="1"/>
  <c r="E65" i="2"/>
  <c r="E50" i="2"/>
  <c r="E68" i="2"/>
  <c r="G63" i="2"/>
  <c r="G64" i="2"/>
  <c r="G35" i="2"/>
  <c r="G34" i="2"/>
  <c r="G68" i="2"/>
  <c r="G65" i="2"/>
  <c r="G66" i="2"/>
  <c r="G60" i="2"/>
  <c r="G33" i="2"/>
  <c r="G50" i="2"/>
  <c r="G61" i="2"/>
  <c r="G36" i="2"/>
  <c r="O56" i="1" l="1"/>
  <c r="N55" i="1"/>
  <c r="G59" i="2" s="1"/>
  <c r="G74" i="2"/>
  <c r="Y41" i="1"/>
  <c r="AA56" i="1"/>
  <c r="AC20" i="1"/>
  <c r="AD18" i="1"/>
  <c r="AC24" i="1"/>
  <c r="AC26" i="1" s="1"/>
  <c r="AB49" i="1"/>
  <c r="AB50" i="1"/>
  <c r="AB51" i="1"/>
  <c r="AB52" i="1"/>
  <c r="AE35" i="1"/>
  <c r="P56" i="2"/>
  <c r="I19" i="2"/>
  <c r="P51" i="1"/>
  <c r="P52" i="1"/>
  <c r="P49" i="1"/>
  <c r="P50" i="1"/>
  <c r="F70" i="2"/>
  <c r="M11" i="1"/>
  <c r="D70" i="2"/>
  <c r="K11" i="1"/>
  <c r="B70" i="2"/>
  <c r="I11" i="1"/>
  <c r="E32" i="2"/>
  <c r="Q32" i="1"/>
  <c r="G32" i="2"/>
  <c r="Q56" i="2"/>
  <c r="P26" i="1"/>
  <c r="I25" i="2" s="1"/>
  <c r="F27" i="2"/>
  <c r="D27" i="2"/>
  <c r="Q24" i="1"/>
  <c r="J23" i="2" s="1"/>
  <c r="J17" i="2"/>
  <c r="O42" i="1"/>
  <c r="O82" i="1" s="1"/>
  <c r="G57" i="2"/>
  <c r="F62" i="2"/>
  <c r="R49" i="2"/>
  <c r="Q20" i="1"/>
  <c r="L2" i="2"/>
  <c r="K18" i="2"/>
  <c r="L61" i="1"/>
  <c r="L93" i="1" s="1"/>
  <c r="E85" i="2" s="1"/>
  <c r="H64" i="2"/>
  <c r="H65" i="2"/>
  <c r="H36" i="2"/>
  <c r="H50" i="2"/>
  <c r="H61" i="2"/>
  <c r="H60" i="2"/>
  <c r="H33" i="2"/>
  <c r="H66" i="2"/>
  <c r="H68" i="2"/>
  <c r="H34" i="2"/>
  <c r="H35" i="2"/>
  <c r="H63" i="2"/>
  <c r="H58" i="2"/>
  <c r="O55" i="1" l="1"/>
  <c r="H59" i="2" s="1"/>
  <c r="H74" i="2"/>
  <c r="AB56" i="1"/>
  <c r="Z41" i="1"/>
  <c r="P56" i="1"/>
  <c r="I60" i="2" s="1"/>
  <c r="AD24" i="1"/>
  <c r="AD26" i="1" s="1"/>
  <c r="AD20" i="1"/>
  <c r="AE18" i="1"/>
  <c r="AC49" i="1"/>
  <c r="AC50" i="1"/>
  <c r="AC51" i="1"/>
  <c r="AC52" i="1"/>
  <c r="AF35" i="1"/>
  <c r="J19" i="2"/>
  <c r="Q51" i="1"/>
  <c r="Q50" i="1"/>
  <c r="Q52" i="1"/>
  <c r="Q49" i="1"/>
  <c r="E70" i="2"/>
  <c r="L11" i="1"/>
  <c r="H32" i="2"/>
  <c r="R32" i="1"/>
  <c r="R56" i="2"/>
  <c r="D52" i="2"/>
  <c r="F52" i="2"/>
  <c r="K17" i="2"/>
  <c r="R24" i="1"/>
  <c r="K23" i="2" s="1"/>
  <c r="E52" i="2"/>
  <c r="G52" i="2"/>
  <c r="G62" i="2"/>
  <c r="P42" i="1"/>
  <c r="P82" i="1" s="1"/>
  <c r="H57" i="2"/>
  <c r="S49" i="2"/>
  <c r="N61" i="1"/>
  <c r="N93" i="1" s="1"/>
  <c r="G85" i="2" s="1"/>
  <c r="B27" i="2"/>
  <c r="R20" i="1"/>
  <c r="L18" i="2"/>
  <c r="Q26" i="1"/>
  <c r="J25" i="2" s="1"/>
  <c r="I66" i="2"/>
  <c r="I33" i="2"/>
  <c r="I64" i="2"/>
  <c r="I65" i="2"/>
  <c r="I61" i="2"/>
  <c r="I36" i="2"/>
  <c r="I35" i="2"/>
  <c r="I63" i="2"/>
  <c r="I34" i="2"/>
  <c r="I50" i="2"/>
  <c r="I68" i="2"/>
  <c r="I58" i="2"/>
  <c r="O61" i="1" l="1"/>
  <c r="Q56" i="1"/>
  <c r="J60" i="2" s="1"/>
  <c r="AC56" i="1"/>
  <c r="P55" i="1"/>
  <c r="I59" i="2" s="1"/>
  <c r="I74" i="2"/>
  <c r="AA41" i="1"/>
  <c r="AE24" i="1"/>
  <c r="AE26" i="1" s="1"/>
  <c r="AE20" i="1"/>
  <c r="AF18" i="1"/>
  <c r="AD51" i="1"/>
  <c r="AD49" i="1"/>
  <c r="AD50" i="1"/>
  <c r="AD52" i="1"/>
  <c r="AG35" i="1"/>
  <c r="K19" i="2"/>
  <c r="R50" i="1"/>
  <c r="R51" i="1"/>
  <c r="R52" i="1"/>
  <c r="R49" i="1"/>
  <c r="G70" i="2"/>
  <c r="N11" i="1"/>
  <c r="I32" i="2"/>
  <c r="S32" i="1"/>
  <c r="S56" i="2"/>
  <c r="R26" i="1"/>
  <c r="K25" i="2" s="1"/>
  <c r="E27" i="2"/>
  <c r="H27" i="2"/>
  <c r="S24" i="1"/>
  <c r="L23" i="2" s="1"/>
  <c r="L17" i="2"/>
  <c r="M2" i="2"/>
  <c r="B30" i="2"/>
  <c r="T49" i="2"/>
  <c r="Q42" i="1"/>
  <c r="Q82" i="1" s="1"/>
  <c r="I57" i="2"/>
  <c r="H62" i="2"/>
  <c r="S20" i="1"/>
  <c r="M18" i="2"/>
  <c r="J65" i="2"/>
  <c r="J61" i="2"/>
  <c r="J35" i="2"/>
  <c r="J34" i="2"/>
  <c r="J64" i="2"/>
  <c r="J68" i="2"/>
  <c r="J50" i="2"/>
  <c r="J63" i="2"/>
  <c r="J66" i="2"/>
  <c r="J33" i="2"/>
  <c r="J36" i="2"/>
  <c r="J58" i="2"/>
  <c r="H70" i="2" l="1"/>
  <c r="O93" i="1"/>
  <c r="H85" i="2" s="1"/>
  <c r="O11" i="1"/>
  <c r="Q55" i="1"/>
  <c r="J59" i="2" s="1"/>
  <c r="J74" i="2"/>
  <c r="AB41" i="1"/>
  <c r="R56" i="1"/>
  <c r="K60" i="2" s="1"/>
  <c r="P61" i="1"/>
  <c r="AD56" i="1"/>
  <c r="AE51" i="1"/>
  <c r="AE49" i="1"/>
  <c r="AE50" i="1"/>
  <c r="AE52" i="1"/>
  <c r="AF24" i="1"/>
  <c r="AF26" i="1" s="1"/>
  <c r="AG18" i="1"/>
  <c r="AF20" i="1"/>
  <c r="L19" i="2"/>
  <c r="S50" i="1"/>
  <c r="S51" i="1"/>
  <c r="S52" i="1"/>
  <c r="S49" i="1"/>
  <c r="J32" i="2"/>
  <c r="T32" i="1"/>
  <c r="U32" i="1" s="1"/>
  <c r="T56" i="2"/>
  <c r="S26" i="1"/>
  <c r="L25" i="2" s="1"/>
  <c r="H52" i="2"/>
  <c r="T24" i="1"/>
  <c r="M23" i="2" s="1"/>
  <c r="M17" i="2"/>
  <c r="I52" i="2"/>
  <c r="N18" i="2"/>
  <c r="N2" i="2"/>
  <c r="R42" i="1"/>
  <c r="R82" i="1" s="1"/>
  <c r="J57" i="2"/>
  <c r="G27" i="2"/>
  <c r="U49" i="2"/>
  <c r="I62" i="2"/>
  <c r="T20" i="1"/>
  <c r="K33" i="2"/>
  <c r="K66" i="2"/>
  <c r="K61" i="2"/>
  <c r="K36" i="2"/>
  <c r="K65" i="2"/>
  <c r="K34" i="2"/>
  <c r="K64" i="2"/>
  <c r="K68" i="2"/>
  <c r="K50" i="2"/>
  <c r="K63" i="2"/>
  <c r="K35" i="2"/>
  <c r="K58" i="2"/>
  <c r="I70" i="2" l="1"/>
  <c r="P93" i="1"/>
  <c r="I85" i="2" s="1"/>
  <c r="Q61" i="1"/>
  <c r="J70" i="2" s="1"/>
  <c r="S56" i="1"/>
  <c r="AE56" i="1"/>
  <c r="V32" i="1"/>
  <c r="U37" i="1"/>
  <c r="U10" i="1" s="1"/>
  <c r="S82" i="1"/>
  <c r="R55" i="1"/>
  <c r="K59" i="2" s="1"/>
  <c r="K74" i="2"/>
  <c r="P11" i="1"/>
  <c r="AC41" i="1"/>
  <c r="AF51" i="1"/>
  <c r="AF49" i="1"/>
  <c r="AF52" i="1"/>
  <c r="AF50" i="1"/>
  <c r="AG20" i="1"/>
  <c r="AG24" i="1"/>
  <c r="AG26" i="1" s="1"/>
  <c r="M19" i="2"/>
  <c r="T50" i="1"/>
  <c r="T49" i="1"/>
  <c r="T51" i="1"/>
  <c r="T52" i="1"/>
  <c r="K32" i="2"/>
  <c r="U56" i="2"/>
  <c r="I27" i="2"/>
  <c r="T26" i="1"/>
  <c r="M25" i="2" s="1"/>
  <c r="O2" i="2"/>
  <c r="O18" i="2"/>
  <c r="N17" i="2"/>
  <c r="S42" i="1"/>
  <c r="K57" i="2"/>
  <c r="J62" i="2"/>
  <c r="M61" i="2"/>
  <c r="L50" i="2"/>
  <c r="L64" i="2"/>
  <c r="L66" i="2"/>
  <c r="L33" i="2"/>
  <c r="L65" i="2"/>
  <c r="L34" i="2"/>
  <c r="L60" i="2"/>
  <c r="L63" i="2"/>
  <c r="L68" i="2"/>
  <c r="L61" i="2"/>
  <c r="L36" i="2"/>
  <c r="L35" i="2"/>
  <c r="L58" i="2"/>
  <c r="M33" i="2"/>
  <c r="M58" i="2"/>
  <c r="Q11" i="1" l="1"/>
  <c r="Q93" i="1"/>
  <c r="J85" i="2" s="1"/>
  <c r="T56" i="1"/>
  <c r="M60" i="2" s="1"/>
  <c r="T82" i="1"/>
  <c r="S55" i="1"/>
  <c r="L59" i="2" s="1"/>
  <c r="L74" i="2"/>
  <c r="AD41" i="1"/>
  <c r="AF56" i="1"/>
  <c r="W32" i="1"/>
  <c r="V37" i="1"/>
  <c r="V10" i="1" s="1"/>
  <c r="AG50" i="1"/>
  <c r="AG49" i="1"/>
  <c r="AG51" i="1"/>
  <c r="AG52" i="1"/>
  <c r="L32" i="2"/>
  <c r="J27" i="2"/>
  <c r="N19" i="2"/>
  <c r="N61" i="2"/>
  <c r="N64" i="2"/>
  <c r="N50" i="2"/>
  <c r="N60" i="2"/>
  <c r="N35" i="2"/>
  <c r="N33" i="2"/>
  <c r="N58" i="2"/>
  <c r="N36" i="2"/>
  <c r="N65" i="2"/>
  <c r="N63" i="2"/>
  <c r="N66" i="2"/>
  <c r="N68" i="2"/>
  <c r="N34" i="2"/>
  <c r="K52" i="2"/>
  <c r="N25" i="2"/>
  <c r="N23" i="2"/>
  <c r="P2" i="2"/>
  <c r="P18" i="2"/>
  <c r="J52" i="2"/>
  <c r="O17" i="2"/>
  <c r="K62" i="2"/>
  <c r="S61" i="1"/>
  <c r="R61" i="1"/>
  <c r="T42" i="1"/>
  <c r="U42" i="1" s="1"/>
  <c r="L57" i="2"/>
  <c r="M66" i="2"/>
  <c r="M68" i="2"/>
  <c r="M64" i="2"/>
  <c r="M65" i="2"/>
  <c r="M34" i="2"/>
  <c r="M50" i="2"/>
  <c r="M35" i="2"/>
  <c r="M63" i="2"/>
  <c r="M36" i="2"/>
  <c r="AG56" i="1" l="1"/>
  <c r="X32" i="1"/>
  <c r="W37" i="1"/>
  <c r="W10" i="1" s="1"/>
  <c r="V42" i="1"/>
  <c r="W42" i="1" s="1"/>
  <c r="AE41" i="1"/>
  <c r="U82" i="1"/>
  <c r="T55" i="1"/>
  <c r="M59" i="2" s="1"/>
  <c r="M74" i="2"/>
  <c r="K70" i="2"/>
  <c r="R11" i="1"/>
  <c r="L70" i="2"/>
  <c r="S11" i="1"/>
  <c r="M32" i="2"/>
  <c r="O68" i="2"/>
  <c r="O33" i="2"/>
  <c r="O61" i="2"/>
  <c r="O36" i="2"/>
  <c r="O35" i="2"/>
  <c r="O65" i="2"/>
  <c r="O64" i="2"/>
  <c r="O34" i="2"/>
  <c r="O19" i="2"/>
  <c r="O63" i="2"/>
  <c r="O50" i="2"/>
  <c r="O66" i="2"/>
  <c r="O60" i="2"/>
  <c r="O58" i="2"/>
  <c r="O25" i="2"/>
  <c r="O23" i="2"/>
  <c r="N32" i="2"/>
  <c r="Q2" i="2"/>
  <c r="Q18" i="2"/>
  <c r="P17" i="2"/>
  <c r="M57" i="2"/>
  <c r="L62" i="2"/>
  <c r="X42" i="1" l="1"/>
  <c r="AF41" i="1"/>
  <c r="V82" i="1"/>
  <c r="N74" i="2"/>
  <c r="U55" i="1"/>
  <c r="Y32" i="1"/>
  <c r="X37" i="1"/>
  <c r="X10" i="1" s="1"/>
  <c r="L27" i="2"/>
  <c r="N52" i="2"/>
  <c r="P19" i="2"/>
  <c r="P58" i="2"/>
  <c r="P63" i="2"/>
  <c r="P68" i="2"/>
  <c r="P64" i="2"/>
  <c r="P33" i="2"/>
  <c r="P65" i="2"/>
  <c r="P66" i="2"/>
  <c r="P35" i="2"/>
  <c r="P61" i="2"/>
  <c r="P60" i="2"/>
  <c r="P50" i="2"/>
  <c r="P34" i="2"/>
  <c r="P36" i="2"/>
  <c r="O32" i="2"/>
  <c r="M52" i="2"/>
  <c r="P25" i="2"/>
  <c r="P23" i="2"/>
  <c r="R2" i="2"/>
  <c r="R18" i="2"/>
  <c r="L52" i="2"/>
  <c r="Q17" i="2"/>
  <c r="K27" i="2"/>
  <c r="M62" i="2"/>
  <c r="T61" i="1"/>
  <c r="N57" i="2"/>
  <c r="N59" i="2" l="1"/>
  <c r="U61" i="1"/>
  <c r="U11" i="1" s="1"/>
  <c r="Z32" i="1"/>
  <c r="Y37" i="1"/>
  <c r="Y10" i="1" s="1"/>
  <c r="W82" i="1"/>
  <c r="V55" i="1"/>
  <c r="O74" i="2"/>
  <c r="AG41" i="1"/>
  <c r="Y42" i="1"/>
  <c r="M70" i="2"/>
  <c r="T11" i="1"/>
  <c r="R17" i="2"/>
  <c r="S2" i="2"/>
  <c r="S18" i="2"/>
  <c r="P32" i="2"/>
  <c r="Q63" i="2"/>
  <c r="Q58" i="2"/>
  <c r="Q35" i="2"/>
  <c r="Q19" i="2"/>
  <c r="Q60" i="2"/>
  <c r="Q61" i="2"/>
  <c r="Q36" i="2"/>
  <c r="Q65" i="2"/>
  <c r="Q68" i="2"/>
  <c r="Q66" i="2"/>
  <c r="Q50" i="2"/>
  <c r="Q64" i="2"/>
  <c r="Q34" i="2"/>
  <c r="Q33" i="2"/>
  <c r="Q25" i="2"/>
  <c r="Q23" i="2"/>
  <c r="O52" i="2"/>
  <c r="O57" i="2"/>
  <c r="N62" i="2"/>
  <c r="C65" i="2"/>
  <c r="Z42" i="1" l="1"/>
  <c r="V61" i="1"/>
  <c r="V11" i="1" s="1"/>
  <c r="O59" i="2"/>
  <c r="X82" i="1"/>
  <c r="W55" i="1"/>
  <c r="P74" i="2"/>
  <c r="AA32" i="1"/>
  <c r="Z37" i="1"/>
  <c r="Z10" i="1" s="1"/>
  <c r="P52" i="2"/>
  <c r="S17" i="2"/>
  <c r="Q32" i="2"/>
  <c r="T2" i="2"/>
  <c r="T18" i="2"/>
  <c r="R68" i="2"/>
  <c r="R35" i="2"/>
  <c r="R63" i="2"/>
  <c r="R50" i="2"/>
  <c r="R19" i="2"/>
  <c r="R33" i="2"/>
  <c r="R60" i="2"/>
  <c r="R65" i="2"/>
  <c r="R34" i="2"/>
  <c r="R66" i="2"/>
  <c r="R36" i="2"/>
  <c r="R64" i="2"/>
  <c r="R58" i="2"/>
  <c r="R61" i="2"/>
  <c r="R25" i="2"/>
  <c r="R23" i="2"/>
  <c r="N70" i="2"/>
  <c r="O62" i="2"/>
  <c r="M27" i="2"/>
  <c r="P57" i="2"/>
  <c r="J24" i="1"/>
  <c r="C33" i="2"/>
  <c r="J59" i="1"/>
  <c r="C66" i="2" s="1"/>
  <c r="C68" i="2"/>
  <c r="K17" i="1"/>
  <c r="C35" i="2"/>
  <c r="C36" i="2"/>
  <c r="C61" i="2"/>
  <c r="J56" i="1"/>
  <c r="C60" i="2" s="1"/>
  <c r="C50" i="2"/>
  <c r="J55" i="1"/>
  <c r="C59" i="2" s="1"/>
  <c r="C64" i="2"/>
  <c r="J58" i="1"/>
  <c r="C63" i="2" s="1"/>
  <c r="J7" i="1"/>
  <c r="C7" i="2" s="1"/>
  <c r="C58" i="2"/>
  <c r="P59" i="2" l="1"/>
  <c r="W61" i="1"/>
  <c r="W11" i="1" s="1"/>
  <c r="AB32" i="1"/>
  <c r="AA37" i="1"/>
  <c r="AA10" i="1" s="1"/>
  <c r="Y82" i="1"/>
  <c r="X55" i="1"/>
  <c r="Q74" i="2"/>
  <c r="AA42" i="1"/>
  <c r="C32" i="2"/>
  <c r="U2" i="2"/>
  <c r="U18" i="2"/>
  <c r="L17" i="1"/>
  <c r="E16" i="2" s="1"/>
  <c r="D16" i="2"/>
  <c r="J26" i="1"/>
  <c r="C23" i="2"/>
  <c r="R32" i="2"/>
  <c r="Q52" i="2"/>
  <c r="S60" i="2"/>
  <c r="S19" i="2"/>
  <c r="S61" i="2"/>
  <c r="S50" i="2"/>
  <c r="S34" i="2"/>
  <c r="S63" i="2"/>
  <c r="S66" i="2"/>
  <c r="S58" i="2"/>
  <c r="S68" i="2"/>
  <c r="S33" i="2"/>
  <c r="S65" i="2"/>
  <c r="S36" i="2"/>
  <c r="S64" i="2"/>
  <c r="S35" i="2"/>
  <c r="S25" i="2"/>
  <c r="S23" i="2"/>
  <c r="T17" i="2"/>
  <c r="N27" i="2"/>
  <c r="Q57" i="2"/>
  <c r="O70" i="2"/>
  <c r="P62" i="2"/>
  <c r="J61" i="1"/>
  <c r="K7" i="1"/>
  <c r="D7" i="2" s="1"/>
  <c r="X61" i="1" l="1"/>
  <c r="X11" i="1" s="1"/>
  <c r="Q59" i="2"/>
  <c r="AB42" i="1"/>
  <c r="Z82" i="1"/>
  <c r="Y55" i="1"/>
  <c r="R74" i="2"/>
  <c r="AC32" i="1"/>
  <c r="AB37" i="1"/>
  <c r="AB10" i="1" s="1"/>
  <c r="C70" i="2"/>
  <c r="J11" i="1"/>
  <c r="R52" i="2"/>
  <c r="T50" i="2"/>
  <c r="T63" i="2"/>
  <c r="T58" i="2"/>
  <c r="T34" i="2"/>
  <c r="T65" i="2"/>
  <c r="T19" i="2"/>
  <c r="T35" i="2"/>
  <c r="T60" i="2"/>
  <c r="T33" i="2"/>
  <c r="T64" i="2"/>
  <c r="T66" i="2"/>
  <c r="T68" i="2"/>
  <c r="T61" i="2"/>
  <c r="T36" i="2"/>
  <c r="U17" i="2"/>
  <c r="J27" i="1"/>
  <c r="J62" i="1" s="1"/>
  <c r="C25" i="2"/>
  <c r="M17" i="1"/>
  <c r="F16" i="2" s="1"/>
  <c r="L7" i="1"/>
  <c r="E7" i="2" s="1"/>
  <c r="T25" i="2"/>
  <c r="T23" i="2"/>
  <c r="S32" i="2"/>
  <c r="Q62" i="2"/>
  <c r="O27" i="2"/>
  <c r="R57" i="2"/>
  <c r="P70" i="2"/>
  <c r="AC42" i="1" l="1"/>
  <c r="AD32" i="1"/>
  <c r="AC37" i="1"/>
  <c r="AC10" i="1" s="1"/>
  <c r="R59" i="2"/>
  <c r="Y61" i="1"/>
  <c r="Y11" i="1" s="1"/>
  <c r="AA82" i="1"/>
  <c r="Z55" i="1"/>
  <c r="S74" i="2"/>
  <c r="C27" i="2"/>
  <c r="C52" i="2"/>
  <c r="M7" i="1"/>
  <c r="F7" i="2" s="1"/>
  <c r="S52" i="2"/>
  <c r="N17" i="1"/>
  <c r="G16" i="2" s="1"/>
  <c r="J8" i="1"/>
  <c r="C8" i="2" s="1"/>
  <c r="C26" i="2"/>
  <c r="J9" i="1"/>
  <c r="C9" i="2" s="1"/>
  <c r="K21" i="1"/>
  <c r="T32" i="2"/>
  <c r="U34" i="2"/>
  <c r="U63" i="2"/>
  <c r="U64" i="2"/>
  <c r="U33" i="2"/>
  <c r="U35" i="2"/>
  <c r="U66" i="2"/>
  <c r="U36" i="2"/>
  <c r="U19" i="2"/>
  <c r="U61" i="2"/>
  <c r="U68" i="2"/>
  <c r="U65" i="2"/>
  <c r="U58" i="2"/>
  <c r="U60" i="2"/>
  <c r="U50" i="2"/>
  <c r="U25" i="2"/>
  <c r="U23" i="2"/>
  <c r="Q70" i="2"/>
  <c r="P27" i="2"/>
  <c r="S57" i="2"/>
  <c r="R62" i="2"/>
  <c r="R70" i="2" l="1"/>
  <c r="S59" i="2"/>
  <c r="Z61" i="1"/>
  <c r="Z11" i="1" s="1"/>
  <c r="AB82" i="1"/>
  <c r="AA55" i="1"/>
  <c r="T74" i="2"/>
  <c r="AE32" i="1"/>
  <c r="AD37" i="1"/>
  <c r="AD10" i="1" s="1"/>
  <c r="AD42" i="1"/>
  <c r="O17" i="1"/>
  <c r="H16" i="2" s="1"/>
  <c r="N7" i="1"/>
  <c r="G7" i="2" s="1"/>
  <c r="K27" i="1"/>
  <c r="K62" i="1" s="1"/>
  <c r="D20" i="2"/>
  <c r="T52" i="2"/>
  <c r="U32" i="2"/>
  <c r="T57" i="2"/>
  <c r="S62" i="2"/>
  <c r="R27" i="2"/>
  <c r="Q27" i="2"/>
  <c r="C30" i="2"/>
  <c r="S70" i="2" l="1"/>
  <c r="AB55" i="1"/>
  <c r="AC82" i="1"/>
  <c r="U74" i="2"/>
  <c r="AF32" i="1"/>
  <c r="AE37" i="1"/>
  <c r="AE10" i="1" s="1"/>
  <c r="AE42" i="1"/>
  <c r="AA61" i="1"/>
  <c r="AA11" i="1" s="1"/>
  <c r="T59" i="2"/>
  <c r="P17" i="1"/>
  <c r="I16" i="2" s="1"/>
  <c r="O7" i="1"/>
  <c r="H7" i="2" s="1"/>
  <c r="L21" i="1"/>
  <c r="D26" i="2"/>
  <c r="K8" i="1"/>
  <c r="D8" i="2" s="1"/>
  <c r="K9" i="1"/>
  <c r="D9" i="2" s="1"/>
  <c r="U52" i="2"/>
  <c r="T62" i="2"/>
  <c r="U57" i="2"/>
  <c r="S27" i="2"/>
  <c r="AF42" i="1" l="1"/>
  <c r="T70" i="2"/>
  <c r="AG32" i="1"/>
  <c r="AG37" i="1" s="1"/>
  <c r="AG10" i="1" s="1"/>
  <c r="AF37" i="1"/>
  <c r="AF10" i="1" s="1"/>
  <c r="AC55" i="1"/>
  <c r="AC61" i="1" s="1"/>
  <c r="AC11" i="1" s="1"/>
  <c r="AD82" i="1"/>
  <c r="AB61" i="1"/>
  <c r="AB11" i="1" s="1"/>
  <c r="U59" i="2"/>
  <c r="Q17" i="1"/>
  <c r="J16" i="2" s="1"/>
  <c r="P7" i="1"/>
  <c r="I7" i="2" s="1"/>
  <c r="D30" i="2"/>
  <c r="E20" i="2"/>
  <c r="L27" i="1"/>
  <c r="L62" i="1" s="1"/>
  <c r="U62" i="2"/>
  <c r="T27" i="2"/>
  <c r="AE82" i="1" l="1"/>
  <c r="AD55" i="1"/>
  <c r="AD61" i="1" s="1"/>
  <c r="AD11" i="1" s="1"/>
  <c r="U70" i="2"/>
  <c r="AG42" i="1"/>
  <c r="Q7" i="1"/>
  <c r="J7" i="2" s="1"/>
  <c r="R17" i="1"/>
  <c r="K16" i="2" s="1"/>
  <c r="L9" i="1"/>
  <c r="E9" i="2" s="1"/>
  <c r="L8" i="1"/>
  <c r="E8" i="2" s="1"/>
  <c r="M21" i="1"/>
  <c r="E26" i="2"/>
  <c r="U27" i="2"/>
  <c r="AE55" i="1" l="1"/>
  <c r="AE61" i="1" s="1"/>
  <c r="AE11" i="1" s="1"/>
  <c r="AF82" i="1"/>
  <c r="R7" i="1"/>
  <c r="K7" i="2" s="1"/>
  <c r="S17" i="1"/>
  <c r="L16" i="2" s="1"/>
  <c r="F20" i="2"/>
  <c r="M27" i="1"/>
  <c r="M62" i="1" s="1"/>
  <c r="E30" i="2"/>
  <c r="AG82" i="1" l="1"/>
  <c r="AG55" i="1" s="1"/>
  <c r="AG61" i="1" s="1"/>
  <c r="AG11" i="1" s="1"/>
  <c r="AF55" i="1"/>
  <c r="AF61" i="1" s="1"/>
  <c r="AF11" i="1" s="1"/>
  <c r="S7" i="1"/>
  <c r="L7" i="2" s="1"/>
  <c r="T17" i="1"/>
  <c r="U17" i="1" s="1"/>
  <c r="F26" i="2"/>
  <c r="M8" i="1"/>
  <c r="F8" i="2" s="1"/>
  <c r="M9" i="1"/>
  <c r="F9" i="2" s="1"/>
  <c r="N21" i="1"/>
  <c r="U7" i="1" l="1"/>
  <c r="V17" i="1"/>
  <c r="M16" i="2"/>
  <c r="T7" i="1"/>
  <c r="M7" i="2" s="1"/>
  <c r="G20" i="2"/>
  <c r="N27" i="1"/>
  <c r="N62" i="1" s="1"/>
  <c r="N16" i="2"/>
  <c r="N7" i="2"/>
  <c r="F30" i="2"/>
  <c r="V7" i="1" l="1"/>
  <c r="W17" i="1"/>
  <c r="O16" i="2"/>
  <c r="O7" i="2"/>
  <c r="O21" i="1"/>
  <c r="G26" i="2"/>
  <c r="N9" i="1"/>
  <c r="G9" i="2" s="1"/>
  <c r="N8" i="1"/>
  <c r="G8" i="2" s="1"/>
  <c r="W7" i="1" l="1"/>
  <c r="X17" i="1"/>
  <c r="G30" i="2"/>
  <c r="H20" i="2"/>
  <c r="O27" i="1"/>
  <c r="O62" i="1" s="1"/>
  <c r="P16" i="2"/>
  <c r="P7" i="2"/>
  <c r="X7" i="1" l="1"/>
  <c r="Q7" i="2" s="1"/>
  <c r="Y17" i="1"/>
  <c r="Q16" i="2"/>
  <c r="H26" i="2"/>
  <c r="P21" i="1"/>
  <c r="O8" i="1"/>
  <c r="H8" i="2" s="1"/>
  <c r="O9" i="1"/>
  <c r="H9" i="2" s="1"/>
  <c r="Z17" i="1" l="1"/>
  <c r="Y7" i="1"/>
  <c r="R7" i="2" s="1"/>
  <c r="H30" i="2"/>
  <c r="I20" i="2"/>
  <c r="P27" i="1"/>
  <c r="P62" i="1" s="1"/>
  <c r="R16" i="2"/>
  <c r="AA17" i="1" l="1"/>
  <c r="Z7" i="1"/>
  <c r="Q21" i="1"/>
  <c r="I26" i="2"/>
  <c r="P9" i="1"/>
  <c r="I9" i="2" s="1"/>
  <c r="P8" i="1"/>
  <c r="I8" i="2" s="1"/>
  <c r="S16" i="2"/>
  <c r="S7" i="2"/>
  <c r="AA7" i="1" l="1"/>
  <c r="T7" i="2" s="1"/>
  <c r="AB17" i="1"/>
  <c r="T16" i="2"/>
  <c r="I30" i="2"/>
  <c r="J20" i="2"/>
  <c r="Q27" i="1"/>
  <c r="Q62" i="1" s="1"/>
  <c r="AB7" i="1" l="1"/>
  <c r="AC17" i="1"/>
  <c r="J26" i="2"/>
  <c r="Q8" i="1"/>
  <c r="J8" i="2" s="1"/>
  <c r="Q9" i="1"/>
  <c r="J9" i="2" s="1"/>
  <c r="R21" i="1"/>
  <c r="U16" i="2"/>
  <c r="U7" i="2"/>
  <c r="AC7" i="1" l="1"/>
  <c r="AD17" i="1"/>
  <c r="J30" i="2"/>
  <c r="K20" i="2"/>
  <c r="R27" i="1"/>
  <c r="R62" i="1" s="1"/>
  <c r="AD7" i="1" l="1"/>
  <c r="AE17" i="1"/>
  <c r="K26" i="2"/>
  <c r="R9" i="1"/>
  <c r="K9" i="2" s="1"/>
  <c r="R8" i="1"/>
  <c r="K8" i="2" s="1"/>
  <c r="S21" i="1"/>
  <c r="AE7" i="1" l="1"/>
  <c r="AF17" i="1"/>
  <c r="S27" i="1"/>
  <c r="S62" i="1" s="1"/>
  <c r="L20" i="2"/>
  <c r="K30" i="2"/>
  <c r="AG17" i="1" l="1"/>
  <c r="AG7" i="1" s="1"/>
  <c r="AF7" i="1"/>
  <c r="L26" i="2"/>
  <c r="T21" i="1"/>
  <c r="S8" i="1"/>
  <c r="L8" i="2" s="1"/>
  <c r="S9" i="1"/>
  <c r="L9" i="2" s="1"/>
  <c r="L30" i="2" l="1"/>
  <c r="M20" i="2"/>
  <c r="T27" i="1"/>
  <c r="T62" i="1" l="1"/>
  <c r="U21" i="1"/>
  <c r="U27" i="1" s="1"/>
  <c r="T8" i="1"/>
  <c r="M8" i="2" s="1"/>
  <c r="T9" i="1"/>
  <c r="M9" i="2" s="1"/>
  <c r="M26" i="2"/>
  <c r="U29" i="1" l="1"/>
  <c r="U9" i="1"/>
  <c r="U8" i="1"/>
  <c r="U62" i="1"/>
  <c r="V21" i="1"/>
  <c r="V27" i="1" s="1"/>
  <c r="N20" i="2"/>
  <c r="M30" i="2"/>
  <c r="V29" i="1" l="1"/>
  <c r="V8" i="1"/>
  <c r="V9" i="1"/>
  <c r="W21" i="1"/>
  <c r="W27" i="1" s="1"/>
  <c r="V62" i="1"/>
  <c r="N8" i="2"/>
  <c r="N9" i="2"/>
  <c r="N26" i="2"/>
  <c r="X21" i="1" l="1"/>
  <c r="X27" i="1" s="1"/>
  <c r="W8" i="1"/>
  <c r="W29" i="1"/>
  <c r="W9" i="1"/>
  <c r="W62" i="1"/>
  <c r="O20" i="2"/>
  <c r="N30" i="2"/>
  <c r="X9" i="1" l="1"/>
  <c r="X8" i="1"/>
  <c r="Y21" i="1"/>
  <c r="Y27" i="1" s="1"/>
  <c r="X29" i="1"/>
  <c r="X62" i="1"/>
  <c r="O9" i="2"/>
  <c r="O26" i="2"/>
  <c r="O8" i="2"/>
  <c r="Y8" i="1" l="1"/>
  <c r="Y9" i="1"/>
  <c r="Z21" i="1"/>
  <c r="Z27" i="1" s="1"/>
  <c r="Y29" i="1"/>
  <c r="Y62" i="1"/>
  <c r="P20" i="2"/>
  <c r="O30" i="2"/>
  <c r="Z8" i="1" l="1"/>
  <c r="Z9" i="1"/>
  <c r="AA21" i="1"/>
  <c r="AA27" i="1" s="1"/>
  <c r="Z29" i="1"/>
  <c r="Z62" i="1"/>
  <c r="P8" i="2"/>
  <c r="P9" i="2"/>
  <c r="P26" i="2"/>
  <c r="AA9" i="1" l="1"/>
  <c r="AB21" i="1"/>
  <c r="AB27" i="1" s="1"/>
  <c r="AA8" i="1"/>
  <c r="AA29" i="1"/>
  <c r="AA62" i="1"/>
  <c r="Q20" i="2"/>
  <c r="P30" i="2"/>
  <c r="AC21" i="1" l="1"/>
  <c r="AC27" i="1" s="1"/>
  <c r="AB8" i="1"/>
  <c r="AB9" i="1"/>
  <c r="AB29" i="1"/>
  <c r="AB62" i="1"/>
  <c r="Q8" i="2"/>
  <c r="Q9" i="2"/>
  <c r="Q26" i="2"/>
  <c r="AD21" i="1" l="1"/>
  <c r="AD27" i="1" s="1"/>
  <c r="AC29" i="1"/>
  <c r="AC9" i="1"/>
  <c r="AC8" i="1"/>
  <c r="AC62" i="1"/>
  <c r="R20" i="2"/>
  <c r="Q30" i="2"/>
  <c r="AD8" i="1" l="1"/>
  <c r="AD9" i="1"/>
  <c r="AE21" i="1"/>
  <c r="AE27" i="1" s="1"/>
  <c r="AD29" i="1"/>
  <c r="AD62" i="1"/>
  <c r="R26" i="2"/>
  <c r="R9" i="2"/>
  <c r="R8" i="2"/>
  <c r="AE8" i="1" l="1"/>
  <c r="AE9" i="1"/>
  <c r="AE29" i="1"/>
  <c r="AF21" i="1"/>
  <c r="AF27" i="1" s="1"/>
  <c r="AE62" i="1"/>
  <c r="R30" i="2"/>
  <c r="S20" i="2"/>
  <c r="AG21" i="1" l="1"/>
  <c r="AG27" i="1" s="1"/>
  <c r="AF9" i="1"/>
  <c r="AF8" i="1"/>
  <c r="AF29" i="1"/>
  <c r="AF62" i="1"/>
  <c r="S8" i="2"/>
  <c r="S9" i="2"/>
  <c r="S26" i="2"/>
  <c r="AG29" i="1" l="1"/>
  <c r="AG9" i="1"/>
  <c r="AG8" i="1"/>
  <c r="AG62" i="1"/>
  <c r="T20" i="2"/>
  <c r="S30" i="2"/>
  <c r="T8" i="2" l="1"/>
  <c r="T26" i="2"/>
  <c r="T9" i="2"/>
  <c r="T30" i="2" l="1"/>
  <c r="U20" i="2"/>
  <c r="U8" i="2" l="1"/>
  <c r="U26" i="2"/>
  <c r="U9" i="2"/>
  <c r="U30" i="2" l="1"/>
  <c r="U29" i="2" l="1"/>
  <c r="S45" i="2"/>
  <c r="J37" i="1"/>
  <c r="C45" i="2" s="1"/>
  <c r="Q45" i="2"/>
  <c r="P29" i="2"/>
  <c r="T37" i="1"/>
  <c r="M45" i="2" s="1"/>
  <c r="N29" i="2"/>
  <c r="S37" i="1"/>
  <c r="S29" i="1" s="1"/>
  <c r="L29" i="2" s="1"/>
  <c r="R37" i="1"/>
  <c r="R29" i="1" s="1"/>
  <c r="K29" i="2" s="1"/>
  <c r="Q37" i="1"/>
  <c r="J45" i="2" s="1"/>
  <c r="P37" i="1"/>
  <c r="P29" i="1" s="1"/>
  <c r="I29" i="2" s="1"/>
  <c r="O37" i="1"/>
  <c r="H45" i="2" s="1"/>
  <c r="L37" i="1"/>
  <c r="L10" i="1" s="1"/>
  <c r="N37" i="1"/>
  <c r="N10" i="1" s="1"/>
  <c r="M37" i="1"/>
  <c r="M29" i="1" s="1"/>
  <c r="F29" i="2" s="1"/>
  <c r="K37" i="1"/>
  <c r="K29" i="1" s="1"/>
  <c r="D29" i="2" s="1"/>
  <c r="I10" i="1"/>
  <c r="B45" i="2"/>
  <c r="C37" i="1"/>
  <c r="C29" i="1" s="1"/>
  <c r="I45" i="2" l="1"/>
  <c r="L45" i="2"/>
  <c r="D45" i="2"/>
  <c r="S10" i="1"/>
  <c r="L10" i="2" s="1"/>
  <c r="P45" i="2"/>
  <c r="R45" i="2"/>
  <c r="E45" i="2"/>
  <c r="O45" i="2"/>
  <c r="T45" i="2"/>
  <c r="P10" i="1"/>
  <c r="I10" i="2" s="1"/>
  <c r="K10" i="1"/>
  <c r="D10" i="2" s="1"/>
  <c r="F37" i="1"/>
  <c r="N45" i="2"/>
  <c r="J10" i="1"/>
  <c r="C10" i="2" s="1"/>
  <c r="I29" i="1"/>
  <c r="B29" i="2" s="1"/>
  <c r="J29" i="1"/>
  <c r="C29" i="2" s="1"/>
  <c r="L29" i="1"/>
  <c r="E29" i="2" s="1"/>
  <c r="N10" i="2"/>
  <c r="G45" i="2"/>
  <c r="E10" i="2"/>
  <c r="G10" i="2"/>
  <c r="T10" i="2"/>
  <c r="B10" i="2"/>
  <c r="I14" i="1"/>
  <c r="R10" i="2"/>
  <c r="O10" i="2"/>
  <c r="O29" i="1"/>
  <c r="H29" i="2" s="1"/>
  <c r="T29" i="1"/>
  <c r="M29" i="2" s="1"/>
  <c r="R29" i="2"/>
  <c r="O29" i="2"/>
  <c r="T29" i="2"/>
  <c r="R10" i="1"/>
  <c r="M10" i="1"/>
  <c r="O10" i="1"/>
  <c r="T10" i="1"/>
  <c r="N29" i="1"/>
  <c r="G29" i="2" s="1"/>
  <c r="Q29" i="2"/>
  <c r="S29" i="2"/>
  <c r="Q29" i="1"/>
  <c r="J29" i="2" s="1"/>
  <c r="Q10" i="1"/>
  <c r="F45" i="2"/>
  <c r="K45" i="2"/>
  <c r="U45" i="2"/>
  <c r="M10" i="2" l="1"/>
  <c r="F10" i="2"/>
  <c r="Q10" i="2"/>
  <c r="H10" i="2"/>
  <c r="J10" i="2"/>
  <c r="S10" i="2"/>
  <c r="K10" i="2"/>
  <c r="P10" i="2"/>
  <c r="U10" i="2"/>
  <c r="B13" i="2"/>
  <c r="J12" i="1"/>
  <c r="J14" i="1" l="1"/>
  <c r="C11" i="2"/>
  <c r="C13" i="2" l="1"/>
  <c r="K12" i="1"/>
  <c r="D11" i="2" l="1"/>
  <c r="K14" i="1"/>
  <c r="L12" i="1" l="1"/>
  <c r="L14" i="1" s="1"/>
  <c r="D13" i="2"/>
  <c r="E11" i="2" l="1"/>
  <c r="M12" i="1" l="1"/>
  <c r="M14" i="1" s="1"/>
  <c r="E13" i="2"/>
  <c r="F11" i="2" l="1"/>
  <c r="N12" i="1" l="1"/>
  <c r="N14" i="1" s="1"/>
  <c r="F13" i="2"/>
  <c r="G11" i="2" l="1"/>
  <c r="O12" i="1" l="1"/>
  <c r="O14" i="1" s="1"/>
  <c r="G13" i="2"/>
  <c r="H11" i="2" l="1"/>
  <c r="P12" i="1" l="1"/>
  <c r="P14" i="1" s="1"/>
  <c r="H13" i="2"/>
  <c r="I11" i="2" l="1"/>
  <c r="I13" i="2" l="1"/>
  <c r="Q12" i="1"/>
  <c r="Q14" i="1" s="1"/>
  <c r="J11" i="2" l="1"/>
  <c r="R12" i="1" l="1"/>
  <c r="R14" i="1" s="1"/>
  <c r="J13" i="2"/>
  <c r="K11" i="2" l="1"/>
  <c r="S12" i="1" l="1"/>
  <c r="S14" i="1" s="1"/>
  <c r="K13" i="2"/>
  <c r="L11" i="2" l="1"/>
  <c r="T12" i="1" l="1"/>
  <c r="T14" i="1" s="1"/>
  <c r="U12" i="1" s="1"/>
  <c r="U14" i="1" s="1"/>
  <c r="V12" i="1" s="1"/>
  <c r="V14" i="1" s="1"/>
  <c r="W12" i="1" s="1"/>
  <c r="W14" i="1" s="1"/>
  <c r="X12" i="1" s="1"/>
  <c r="X14" i="1" s="1"/>
  <c r="Y12" i="1" s="1"/>
  <c r="Y14" i="1" s="1"/>
  <c r="Z12" i="1" s="1"/>
  <c r="Z14" i="1" s="1"/>
  <c r="AA12" i="1" s="1"/>
  <c r="AA14" i="1" s="1"/>
  <c r="AB12" i="1" s="1"/>
  <c r="AB14" i="1" s="1"/>
  <c r="AC12" i="1" s="1"/>
  <c r="AC14" i="1" s="1"/>
  <c r="AD12" i="1" s="1"/>
  <c r="AD14" i="1" s="1"/>
  <c r="AE12" i="1" s="1"/>
  <c r="AE14" i="1" s="1"/>
  <c r="AF12" i="1" s="1"/>
  <c r="AF14" i="1" s="1"/>
  <c r="AG12" i="1" s="1"/>
  <c r="AG14" i="1" s="1"/>
  <c r="L13" i="2"/>
  <c r="M11" i="2" l="1"/>
  <c r="M13" i="2" l="1"/>
  <c r="N11" i="2" l="1"/>
  <c r="N13" i="2" l="1"/>
  <c r="O11" i="2" l="1"/>
  <c r="O13" i="2" l="1"/>
  <c r="P11" i="2" l="1"/>
  <c r="P13" i="2" l="1"/>
  <c r="Q11" i="2" l="1"/>
  <c r="Q13" i="2" l="1"/>
  <c r="R11" i="2" l="1"/>
  <c r="R13" i="2" l="1"/>
  <c r="S11" i="2" l="1"/>
  <c r="S13" i="2" l="1"/>
  <c r="T11" i="2" l="1"/>
  <c r="T13" i="2" l="1"/>
  <c r="U11" i="2" l="1"/>
  <c r="U13" i="2" l="1"/>
</calcChain>
</file>

<file path=xl/sharedStrings.xml><?xml version="1.0" encoding="utf-8"?>
<sst xmlns="http://schemas.openxmlformats.org/spreadsheetml/2006/main" count="368" uniqueCount="225">
  <si>
    <t>Average Cost Per Lead</t>
  </si>
  <si>
    <t>Average Conversion Rate to Paid Account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</si>
  <si>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</si>
  <si>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</si>
  <si>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</si>
  <si>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</si>
  <si>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</si>
  <si>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</si>
  <si>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</si>
  <si>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</si>
  <si>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</si>
  <si>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</si>
  <si>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</si>
  <si>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</si>
  <si>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</si>
  <si>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</si>
  <si>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</si>
  <si>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</si>
  <si>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</si>
  <si>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</si>
  <si>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</si>
  <si>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</si>
  <si>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</si>
  <si>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</si>
  <si>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</si>
  <si>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</si>
  <si>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</si>
  <si>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Attrition Rate</t>
  </si>
  <si>
    <t>Initial Month Attrition Rate</t>
  </si>
  <si>
    <t>Total Recurring Monthly Revenue</t>
  </si>
  <si>
    <t>Total Revenue Collected</t>
  </si>
  <si>
    <t>Working Capital</t>
  </si>
  <si>
    <t>Capital Raise</t>
  </si>
  <si>
    <t>Current Cost Structure</t>
  </si>
  <si>
    <t>Cost Per Account Breakdown</t>
  </si>
  <si>
    <t>Inhouse Capital Requirement</t>
  </si>
  <si>
    <t>Total Creation Multiple</t>
  </si>
  <si>
    <t>Revenue Summary</t>
  </si>
  <si>
    <t>New Account Summary</t>
  </si>
  <si>
    <t>Total Accounts</t>
  </si>
  <si>
    <t>Montly Accounts Sold</t>
  </si>
  <si>
    <t>Contract Account Sold</t>
  </si>
  <si>
    <t>Total Paid Accounts Onboarded</t>
  </si>
  <si>
    <t>Average MMR</t>
  </si>
  <si>
    <t>New Month-to-Month Average</t>
  </si>
  <si>
    <t>New Contract Average</t>
  </si>
  <si>
    <t>New Montly Account Revenue</t>
  </si>
  <si>
    <t>New Account Revenue</t>
  </si>
  <si>
    <t>Total Monthly Revenue</t>
  </si>
  <si>
    <t>Gross Profit</t>
  </si>
  <si>
    <t>Net Operating Income</t>
  </si>
  <si>
    <t>Lead Cost</t>
  </si>
  <si>
    <t>Sales Rep Payroll</t>
  </si>
  <si>
    <t xml:space="preserve">   Total Advertising &amp; marketing</t>
  </si>
  <si>
    <t xml:space="preserve">      Software &amp; apps</t>
  </si>
  <si>
    <t xml:space="preserve">         Ai Software Tools - Not COGS</t>
  </si>
  <si>
    <t>Exec Comp</t>
  </si>
  <si>
    <t>R&amp;D Deve</t>
  </si>
  <si>
    <t xml:space="preserve">   Total Legal &amp; accounting services</t>
  </si>
  <si>
    <t>Operating Costs</t>
  </si>
  <si>
    <t>Operating Costs Per Sale</t>
  </si>
  <si>
    <t>Bank Service  Charges</t>
  </si>
  <si>
    <t xml:space="preserve">   Total Contract labor</t>
  </si>
  <si>
    <t>Lincense  and Subscription Fees</t>
  </si>
  <si>
    <t>Health Insurance Expense</t>
  </si>
  <si>
    <t>Work Comp and Liability Insurance</t>
  </si>
  <si>
    <t>Meals and Entertainment</t>
  </si>
  <si>
    <t>Office  Supplies</t>
  </si>
  <si>
    <t>Payroll Expense</t>
  </si>
  <si>
    <t>US Dev Payroll</t>
  </si>
  <si>
    <t>Rent Expense</t>
  </si>
  <si>
    <t>Total Operating Costs</t>
  </si>
  <si>
    <t xml:space="preserve">   Total General business expenses</t>
  </si>
  <si>
    <t>Total Customer Count</t>
  </si>
  <si>
    <t>`</t>
  </si>
  <si>
    <t>Thursday, Dec 12, 2024 01:33:15 PM GMT-8 - Accrual Basis</t>
  </si>
  <si>
    <t>Net Income</t>
  </si>
  <si>
    <t>Net Other Income</t>
  </si>
  <si>
    <t>Total Other Expenses</t>
  </si>
  <si>
    <t xml:space="preserve">   Total Vehicle expenses</t>
  </si>
  <si>
    <t xml:space="preserve">      Vehicle gas &amp; fuel</t>
  </si>
  <si>
    <t xml:space="preserve">      Parking &amp; tolls</t>
  </si>
  <si>
    <t xml:space="preserve">   Vehicle expenses</t>
  </si>
  <si>
    <t>Other Expenses</t>
  </si>
  <si>
    <t>Total Expenses</t>
  </si>
  <si>
    <t xml:space="preserve">   Total Travel</t>
  </si>
  <si>
    <t xml:space="preserve">      Hotels</t>
  </si>
  <si>
    <t xml:space="preserve">      Airfare</t>
  </si>
  <si>
    <t xml:space="preserve">   Travel</t>
  </si>
  <si>
    <t xml:space="preserve">   Total Office expenses</t>
  </si>
  <si>
    <t xml:space="preserve">      Total Software &amp; apps</t>
  </si>
  <si>
    <t xml:space="preserve">   Office expenses</t>
  </si>
  <si>
    <t xml:space="preserve">   Total Meals</t>
  </si>
  <si>
    <t xml:space="preserve">      Travel meals</t>
  </si>
  <si>
    <t xml:space="preserve">      Meals with clients</t>
  </si>
  <si>
    <t xml:space="preserve">      Meals - Guzman</t>
  </si>
  <si>
    <t xml:space="preserve">   Meals</t>
  </si>
  <si>
    <t xml:space="preserve">      Legal Fees</t>
  </si>
  <si>
    <t xml:space="preserve">   Legal &amp; accounting services</t>
  </si>
  <si>
    <t xml:space="preserve">      Bank fees &amp; service charges</t>
  </si>
  <si>
    <t xml:space="preserve">   General business expenses</t>
  </si>
  <si>
    <t xml:space="preserve">      Upwork</t>
  </si>
  <si>
    <t xml:space="preserve">   Contract labor</t>
  </si>
  <si>
    <t xml:space="preserve">      Trade Shows</t>
  </si>
  <si>
    <t xml:space="preserve">      Software Marketing Tools</t>
  </si>
  <si>
    <t xml:space="preserve">      Social media</t>
  </si>
  <si>
    <t xml:space="preserve">      Listing fees</t>
  </si>
  <si>
    <t xml:space="preserve">      Content Creation</t>
  </si>
  <si>
    <t xml:space="preserve">   Advertising &amp; marketing</t>
  </si>
  <si>
    <t>Expenses</t>
  </si>
  <si>
    <t>Total Cost of Goods Sold</t>
  </si>
  <si>
    <t xml:space="preserve">   Telephony Carriers</t>
  </si>
  <si>
    <t xml:space="preserve">   Total Software - COGS</t>
  </si>
  <si>
    <t xml:space="preserve">      Voice AI Provider</t>
  </si>
  <si>
    <t xml:space="preserve">      Software - Tools</t>
  </si>
  <si>
    <t xml:space="preserve">   Software - COGS</t>
  </si>
  <si>
    <t xml:space="preserve">   Cloud Services</t>
  </si>
  <si>
    <t>Cost of Goods Sold</t>
  </si>
  <si>
    <t>Total Income</t>
  </si>
  <si>
    <t xml:space="preserve">   Uncategorized Income</t>
  </si>
  <si>
    <t xml:space="preserve">   Sales of Product Income</t>
  </si>
  <si>
    <t>Income</t>
  </si>
  <si>
    <t>Total</t>
  </si>
  <si>
    <t>Dec 1-12, 2024</t>
  </si>
  <si>
    <t>Nov 2024</t>
  </si>
  <si>
    <t>Oct 2024</t>
  </si>
  <si>
    <t>Sep 2024</t>
  </si>
  <si>
    <t>Aug 2024</t>
  </si>
  <si>
    <t>Jul 2024</t>
  </si>
  <si>
    <t>Jun 2024</t>
  </si>
  <si>
    <t>May 2024</t>
  </si>
  <si>
    <t>Apr 2024</t>
  </si>
  <si>
    <t>Mar 2024</t>
  </si>
  <si>
    <t>Feb 2024</t>
  </si>
  <si>
    <t>Jan 2024</t>
  </si>
  <si>
    <t>January 1 - December 12, 2024</t>
  </si>
  <si>
    <t>Profit and Loss</t>
  </si>
  <si>
    <t>Eqho, LLC</t>
  </si>
  <si>
    <t>Kyle Nadauld</t>
  </si>
  <si>
    <t>Daniel McConnell</t>
  </si>
  <si>
    <t>Jonathan Gibby</t>
  </si>
  <si>
    <t>Tyler (TK) Karren</t>
  </si>
  <si>
    <t>Nikola Knežević</t>
  </si>
  <si>
    <t>Sebastian</t>
  </si>
  <si>
    <t>Nebojsa Krstovic</t>
  </si>
  <si>
    <t>Iva Lukac</t>
  </si>
  <si>
    <t>Todor Mihajlovic</t>
  </si>
  <si>
    <t>Gabriel Ceniza</t>
  </si>
  <si>
    <t>Jenriel Jadraque</t>
  </si>
  <si>
    <t>Ariel Manayon</t>
  </si>
  <si>
    <t>Full Monthly Payroll</t>
  </si>
  <si>
    <t>QA Marco</t>
  </si>
  <si>
    <t>US</t>
  </si>
  <si>
    <t>country</t>
  </si>
  <si>
    <t>SERB</t>
  </si>
  <si>
    <t>Model Variables</t>
  </si>
  <si>
    <t>month</t>
  </si>
  <si>
    <t>phase</t>
  </si>
  <si>
    <t>mrr</t>
  </si>
  <si>
    <t>arr</t>
  </si>
  <si>
    <t>momGrowth</t>
  </si>
  <si>
    <t>customers</t>
  </si>
  <si>
    <t>netNewCustomers</t>
  </si>
  <si>
    <t>churnRate</t>
  </si>
  <si>
    <t>arpu</t>
  </si>
  <si>
    <t>cac</t>
  </si>
  <si>
    <t>ltv</t>
  </si>
  <si>
    <t>ltvCacRatio</t>
  </si>
  <si>
    <t>grossMargin</t>
  </si>
  <si>
    <t>netBurn</t>
  </si>
  <si>
    <t>burnMultiple</t>
  </si>
  <si>
    <t>rule40Score</t>
  </si>
  <si>
    <t>cogs</t>
  </si>
  <si>
    <t>burn</t>
  </si>
  <si>
    <t>expansionRevenue</t>
  </si>
  <si>
    <t>netRevenueRetention</t>
  </si>
  <si>
    <t>Phase 1</t>
  </si>
  <si>
    <t>15.1x</t>
  </si>
  <si>
    <t>15.4x</t>
  </si>
  <si>
    <t>20.6x</t>
  </si>
  <si>
    <t>20.9x</t>
  </si>
  <si>
    <t>26.3x</t>
  </si>
  <si>
    <t>31.6x</t>
  </si>
  <si>
    <t>32.2x</t>
  </si>
  <si>
    <t>38.0x</t>
  </si>
  <si>
    <t>44.0x</t>
  </si>
  <si>
    <t>55.1x</t>
  </si>
  <si>
    <t>60.9x</t>
  </si>
  <si>
    <t>72.2x</t>
  </si>
  <si>
    <t>Phase 2</t>
  </si>
  <si>
    <t>83.4x</t>
  </si>
  <si>
    <t>94.8x</t>
  </si>
  <si>
    <t>106.6x</t>
  </si>
  <si>
    <t>124.0x</t>
  </si>
  <si>
    <t>146.6x</t>
  </si>
  <si>
    <t>164.2x</t>
  </si>
  <si>
    <t>192.8x</t>
  </si>
  <si>
    <t>221.5x</t>
  </si>
  <si>
    <t>255.8x</t>
  </si>
  <si>
    <t>295.6x</t>
  </si>
  <si>
    <t>336.0x</t>
  </si>
  <si>
    <t>387.8x</t>
  </si>
  <si>
    <t>Phase 3</t>
  </si>
  <si>
    <t>445.5x</t>
  </si>
  <si>
    <t>514.5x</t>
  </si>
  <si>
    <t>594.6x</t>
  </si>
  <si>
    <t>680.9x</t>
  </si>
  <si>
    <t>784.3x</t>
  </si>
  <si>
    <t>904.5x</t>
  </si>
  <si>
    <t>Phase 4</t>
  </si>
  <si>
    <t>1036.8x</t>
  </si>
  <si>
    <t>1192.2x</t>
  </si>
  <si>
    <t>1375.7x</t>
  </si>
  <si>
    <t>1582.2x</t>
  </si>
  <si>
    <t>1817.6x</t>
  </si>
  <si>
    <t>2092.9x</t>
  </si>
  <si>
    <t>Month to Month Account Growth</t>
  </si>
  <si>
    <t>Contract Account Growth</t>
  </si>
  <si>
    <t>COGS</t>
  </si>
  <si>
    <t xml:space="preserve">   Total Dev Contract labor</t>
  </si>
  <si>
    <t>OpEx</t>
  </si>
  <si>
    <t>Total COGS</t>
  </si>
  <si>
    <t>Sales Admin</t>
  </si>
  <si>
    <t>Customer Success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</si>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</sst>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  <numFmt numFmtId="165" formatCode="0.0"/>
    <numFmt numFmtId="166" formatCode="&quot;$&quot;#,##0.00"/>
    <numFmt numFmtId="167" formatCode="#,##0.00\ _€"/>
    <numFmt numFmtId="168" formatCode="&quot;$&quot;* #,##0.00\ _€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24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b/>
      <sz val="8"/>
      <color indexed="8"/>
      <name val="Arial"/>
      <family val="2"/>
    </font>
    <font>
      <sz val="11"/>
      <color indexed="8"/>
      <name val="Calibri"/>
      <family val="2"/>
      <scheme val="minor"/>
    </font>
    <font>
      <sz val="8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8"/>
      <color rgb="FF00000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</cellStyleXfs>
  <cellXfs count="87">
    <xf numFmtId="0" fontId="0" fillId="0" borderId="0" xfId="0"/>
    <xf numFmtId="0" fontId="2" fillId="0" borderId="0" xfId="0" applyFont="1"/>
    <xf numFmtId="164" fontId="2" fillId="0" borderId="0" xfId="2" applyNumberFormat="1" applyFont="1" applyFill="1"/>
    <xf numFmtId="0" fontId="2" fillId="0" borderId="1" xfId="0" applyFont="1" applyBorder="1"/>
    <xf numFmtId="164" fontId="2" fillId="0" borderId="1" xfId="2" applyNumberFormat="1" applyFont="1" applyFill="1" applyBorder="1"/>
    <xf numFmtId="44" fontId="2" fillId="0" borderId="0" xfId="0" applyNumberFormat="1" applyFont="1"/>
    <xf numFmtId="0" fontId="3" fillId="0" borderId="0" xfId="1" applyNumberFormat="1" applyFont="1" applyFill="1" applyAlignment="1">
      <alignment horizontal="center"/>
    </xf>
    <xf numFmtId="1" fontId="3" fillId="0" borderId="0" xfId="1" applyNumberFormat="1" applyFont="1" applyFill="1" applyAlignment="1">
      <alignment horizontal="center"/>
    </xf>
    <xf numFmtId="0" fontId="3" fillId="0" borderId="0" xfId="1" applyNumberFormat="1" applyFont="1" applyFill="1" applyAlignment="1">
      <alignment horizontal="right"/>
    </xf>
    <xf numFmtId="0" fontId="3" fillId="0" borderId="0" xfId="1" applyNumberFormat="1" applyFont="1" applyFill="1" applyBorder="1" applyAlignment="1">
      <alignment horizontal="right"/>
    </xf>
    <xf numFmtId="44" fontId="2" fillId="0" borderId="2" xfId="0" applyNumberFormat="1" applyFont="1" applyBorder="1"/>
    <xf numFmtId="165" fontId="2" fillId="0" borderId="0" xfId="0" applyNumberFormat="1" applyFont="1" applyAlignment="1">
      <alignment horizontal="center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66" fontId="6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44" fontId="3" fillId="0" borderId="0" xfId="1" applyFont="1" applyFill="1" applyAlignment="1">
      <alignment horizontal="center"/>
    </xf>
    <xf numFmtId="9" fontId="2" fillId="0" borderId="0" xfId="2" applyFont="1" applyFill="1"/>
    <xf numFmtId="0" fontId="5" fillId="2" borderId="0" xfId="0" applyFont="1" applyFill="1"/>
    <xf numFmtId="44" fontId="3" fillId="2" borderId="0" xfId="1" applyFont="1" applyFill="1" applyAlignment="1">
      <alignment horizontal="center"/>
    </xf>
    <xf numFmtId="44" fontId="2" fillId="0" borderId="0" xfId="1" applyFont="1" applyFill="1" applyAlignment="1">
      <alignment horizontal="center"/>
    </xf>
    <xf numFmtId="0" fontId="3" fillId="0" borderId="0" xfId="0" applyFont="1" applyAlignment="1">
      <alignment horizontal="right"/>
    </xf>
    <xf numFmtId="44" fontId="2" fillId="2" borderId="0" xfId="1" applyFont="1" applyFill="1" applyAlignment="1">
      <alignment horizontal="center"/>
    </xf>
    <xf numFmtId="44" fontId="2" fillId="0" borderId="0" xfId="1" applyFont="1" applyFill="1"/>
    <xf numFmtId="44" fontId="2" fillId="0" borderId="0" xfId="1" applyFont="1" applyFill="1" applyBorder="1" applyAlignment="1">
      <alignment horizontal="center"/>
    </xf>
    <xf numFmtId="6" fontId="2" fillId="0" borderId="0" xfId="0" applyNumberFormat="1" applyFont="1"/>
    <xf numFmtId="9" fontId="2" fillId="0" borderId="0" xfId="0" applyNumberFormat="1" applyFont="1"/>
    <xf numFmtId="0" fontId="2" fillId="0" borderId="3" xfId="0" applyFont="1" applyBorder="1" applyAlignment="1">
      <alignment horizontal="right"/>
    </xf>
    <xf numFmtId="44" fontId="2" fillId="0" borderId="3" xfId="0" applyNumberFormat="1" applyFont="1" applyBorder="1"/>
    <xf numFmtId="44" fontId="9" fillId="0" borderId="0" xfId="0" applyNumberFormat="1" applyFont="1"/>
    <xf numFmtId="0" fontId="2" fillId="0" borderId="0" xfId="1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1" applyNumberFormat="1" applyFont="1" applyFill="1" applyAlignment="1">
      <alignment horizontal="center"/>
    </xf>
    <xf numFmtId="0" fontId="3" fillId="0" borderId="0" xfId="1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2" applyNumberFormat="1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44" fontId="9" fillId="0" borderId="0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44" fontId="3" fillId="3" borderId="0" xfId="1" applyFont="1" applyFill="1" applyAlignment="1">
      <alignment horizontal="center"/>
    </xf>
    <xf numFmtId="44" fontId="2" fillId="0" borderId="0" xfId="1" applyFont="1"/>
    <xf numFmtId="44" fontId="2" fillId="0" borderId="0" xfId="1" applyFont="1" applyFill="1" applyAlignment="1">
      <alignment horizontal="left"/>
    </xf>
    <xf numFmtId="165" fontId="3" fillId="0" borderId="0" xfId="1" applyNumberFormat="1" applyFont="1" applyFill="1" applyAlignment="1">
      <alignment horizontal="center"/>
    </xf>
    <xf numFmtId="2" fontId="2" fillId="0" borderId="0" xfId="0" applyNumberFormat="1" applyFont="1"/>
    <xf numFmtId="165" fontId="3" fillId="0" borderId="0" xfId="1" applyNumberFormat="1" applyFont="1" applyFill="1" applyAlignment="1">
      <alignment horizontal="left" indent="5"/>
    </xf>
    <xf numFmtId="0" fontId="9" fillId="0" borderId="0" xfId="0" applyFont="1" applyAlignment="1">
      <alignment horizontal="right"/>
    </xf>
    <xf numFmtId="44" fontId="9" fillId="0" borderId="0" xfId="1" applyFont="1" applyFill="1" applyAlignment="1">
      <alignment horizontal="center"/>
    </xf>
    <xf numFmtId="0" fontId="9" fillId="0" borderId="0" xfId="1" applyNumberFormat="1" applyFont="1" applyFill="1" applyAlignment="1">
      <alignment horizontal="center"/>
    </xf>
    <xf numFmtId="0" fontId="11" fillId="0" borderId="0" xfId="3"/>
    <xf numFmtId="0" fontId="11" fillId="3" borderId="0" xfId="3" applyFill="1"/>
    <xf numFmtId="167" fontId="12" fillId="0" borderId="0" xfId="3" applyNumberFormat="1" applyFont="1" applyAlignment="1">
      <alignment wrapText="1"/>
    </xf>
    <xf numFmtId="167" fontId="12" fillId="3" borderId="0" xfId="3" applyNumberFormat="1" applyFont="1" applyFill="1" applyAlignment="1">
      <alignment wrapText="1"/>
    </xf>
    <xf numFmtId="0" fontId="10" fillId="0" borderId="0" xfId="3" applyFont="1" applyAlignment="1">
      <alignment horizontal="left" wrapText="1"/>
    </xf>
    <xf numFmtId="168" fontId="10" fillId="0" borderId="4" xfId="3" applyNumberFormat="1" applyFont="1" applyBorder="1" applyAlignment="1">
      <alignment horizontal="right" wrapText="1"/>
    </xf>
    <xf numFmtId="168" fontId="10" fillId="3" borderId="4" xfId="3" applyNumberFormat="1" applyFont="1" applyFill="1" applyBorder="1" applyAlignment="1">
      <alignment horizontal="right" wrapText="1"/>
    </xf>
    <xf numFmtId="167" fontId="12" fillId="0" borderId="0" xfId="3" applyNumberFormat="1" applyFont="1" applyAlignment="1">
      <alignment horizontal="right" wrapText="1"/>
    </xf>
    <xf numFmtId="167" fontId="12" fillId="3" borderId="0" xfId="3" applyNumberFormat="1" applyFont="1" applyFill="1" applyAlignment="1">
      <alignment horizontal="right" wrapText="1"/>
    </xf>
    <xf numFmtId="44" fontId="11" fillId="0" borderId="0" xfId="3" applyNumberFormat="1"/>
    <xf numFmtId="0" fontId="13" fillId="0" borderId="5" xfId="3" applyFont="1" applyBorder="1" applyAlignment="1">
      <alignment horizontal="center" wrapText="1"/>
    </xf>
    <xf numFmtId="0" fontId="13" fillId="3" borderId="5" xfId="3" applyFont="1" applyFill="1" applyBorder="1" applyAlignment="1">
      <alignment horizontal="center" wrapText="1"/>
    </xf>
    <xf numFmtId="0" fontId="11" fillId="0" borderId="0" xfId="3" applyAlignment="1">
      <alignment wrapText="1"/>
    </xf>
    <xf numFmtId="0" fontId="16" fillId="0" borderId="0" xfId="0" applyFont="1"/>
    <xf numFmtId="44" fontId="16" fillId="0" borderId="0" xfId="1" applyFont="1"/>
    <xf numFmtId="44" fontId="16" fillId="0" borderId="0" xfId="0" applyNumberFormat="1" applyFont="1"/>
    <xf numFmtId="44" fontId="17" fillId="0" borderId="0" xfId="1" applyFont="1" applyFill="1" applyAlignment="1">
      <alignment horizontal="center"/>
    </xf>
    <xf numFmtId="0" fontId="10" fillId="0" borderId="0" xfId="0" applyFont="1" applyAlignment="1">
      <alignment horizontal="left" wrapText="1"/>
    </xf>
    <xf numFmtId="44" fontId="0" fillId="0" borderId="0" xfId="0" applyNumberFormat="1"/>
    <xf numFmtId="6" fontId="0" fillId="0" borderId="0" xfId="0" applyNumberFormat="1"/>
    <xf numFmtId="10" fontId="0" fillId="0" borderId="0" xfId="0" applyNumberFormat="1"/>
    <xf numFmtId="9" fontId="0" fillId="0" borderId="0" xfId="0" applyNumberFormat="1"/>
    <xf numFmtId="3" fontId="0" fillId="0" borderId="0" xfId="0" applyNumberFormat="1"/>
    <xf numFmtId="8" fontId="0" fillId="0" borderId="0" xfId="0" applyNumberFormat="1"/>
    <xf numFmtId="0" fontId="18" fillId="0" borderId="0" xfId="0" applyFont="1" applyAlignment="1">
      <alignment horizontal="left" wrapText="1"/>
    </xf>
    <xf numFmtId="0" fontId="19" fillId="0" borderId="0" xfId="0" applyFont="1" applyAlignment="1">
      <alignment horizontal="right"/>
    </xf>
    <xf numFmtId="2" fontId="2" fillId="0" borderId="0" xfId="1" applyNumberFormat="1" applyFont="1" applyFill="1" applyBorder="1" applyAlignment="1">
      <alignment horizontal="center"/>
    </xf>
    <xf numFmtId="0" fontId="2" fillId="0" borderId="3" xfId="0" applyFont="1" applyBorder="1"/>
    <xf numFmtId="44" fontId="3" fillId="0" borderId="3" xfId="1" applyFont="1" applyFill="1" applyBorder="1" applyAlignment="1">
      <alignment horizontal="center"/>
    </xf>
    <xf numFmtId="9" fontId="2" fillId="0" borderId="0" xfId="2" applyFont="1" applyFill="1" applyBorder="1" applyAlignment="1">
      <alignment horizontal="center"/>
    </xf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4" fillId="0" borderId="0" xfId="0" applyFont="1" applyAlignment="1">
      <alignment horizontal="center"/>
    </xf>
    <xf numFmtId="0" fontId="12" fillId="0" borderId="0" xfId="3" applyFont="1" applyAlignment="1">
      <alignment horizontal="center"/>
    </xf>
    <xf numFmtId="0" fontId="11" fillId="0" borderId="0" xfId="3"/>
    <xf numFmtId="0" fontId="15" fillId="0" borderId="0" xfId="3" applyFont="1" applyAlignment="1">
      <alignment horizontal="center"/>
    </xf>
    <xf numFmtId="0" fontId="14" fillId="0" borderId="0" xfId="3" applyFont="1" applyAlignment="1">
      <alignment horizontal="center"/>
    </xf>
  </cellXfs>
  <cellStyles count="4">
    <cellStyle name="Currency" xfId="1" builtinId="4"/>
    <cellStyle name="Normal" xfId="0" builtinId="0"/>
    <cellStyle name="Normal 2" xfId="3" xr:uid="{82677713-8F1C-C542-AE6F-E697584B460B}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I103"/>
  <sheetViews>
    <sheetView tabSelected="1" zoomScale="130" zoomScaleNormal="130" zoomScalePageLayoutView="120" workbookViewId="0">
      <pane xSplit="3" ySplit="14" topLeftCell="D15" activePane="bottomRight" state="frozen"/>
      <selection pane="topRight" activeCell="D1" sqref="D1"/>
      <selection pane="bottomLeft" activeCell="A15" sqref="A15"/>
      <selection pane="bottomRight" activeCell="P12" sqref="P12"/>
    </sheetView>
  </sheetViews>
  <sheetFormatPr baseColWidth="10" defaultColWidth="11.5" defaultRowHeight="15" x14ac:dyDescent="0.2"/>
  <cols>
    <col min="1" max="1" width="36.5" style="1" hidden="1" customWidth="1"/>
    <col min="2" max="2" width="16" style="1" hidden="1" customWidth="1"/>
    <col min="3" max="3" width="26.33203125" style="1" hidden="1" customWidth="1"/>
    <col min="4" max="4" width="12.5" style="36" customWidth="1"/>
    <col min="5" max="5" width="36.5" style="1" hidden="1" customWidth="1"/>
    <col min="6" max="6" width="25.33203125" style="1" hidden="1" customWidth="1"/>
    <col min="7" max="7" width="9" style="1" hidden="1" customWidth="1"/>
    <col min="8" max="8" width="38.5" style="1" customWidth="1"/>
    <col min="9" max="9" width="19.5" style="1" customWidth="1"/>
    <col min="10" max="28" width="17.5" style="1" customWidth="1"/>
    <col min="29" max="29" width="19.83203125" style="1" bestFit="1" customWidth="1"/>
    <col min="30" max="62" width="17.5" style="1" customWidth="1"/>
    <col min="63" max="16384" width="11.5" style="1"/>
  </cols>
  <sheetData>
    <row r="1" spans="1:62" ht="19" x14ac:dyDescent="0.25">
      <c r="A1" s="12" t="s">
        <v>155</v>
      </c>
      <c r="B1" s="14"/>
      <c r="C1" s="14"/>
      <c r="H1" s="1" t="s">
        <v>216</v>
      </c>
      <c r="I1" s="1">
        <v>1</v>
      </c>
      <c r="J1" s="1">
        <v>1</v>
      </c>
      <c r="K1" s="1">
        <v>1.5</v>
      </c>
      <c r="L1" s="1">
        <v>1.1000000000000001</v>
      </c>
      <c r="M1" s="1">
        <v>1.1499999999999999</v>
      </c>
      <c r="N1" s="1">
        <v>1.1499999999999999</v>
      </c>
      <c r="O1" s="1">
        <v>1.2</v>
      </c>
      <c r="P1" s="1">
        <v>1.2</v>
      </c>
      <c r="Q1" s="1">
        <v>1.2</v>
      </c>
      <c r="R1" s="1">
        <v>1.3</v>
      </c>
      <c r="S1" s="1">
        <v>1.3</v>
      </c>
      <c r="T1" s="1">
        <v>1.3</v>
      </c>
      <c r="U1" s="1">
        <v>1.1499999999999999</v>
      </c>
      <c r="V1" s="1">
        <v>1.1499999999999999</v>
      </c>
      <c r="W1" s="1">
        <v>1.2</v>
      </c>
      <c r="X1" s="1">
        <v>1.2</v>
      </c>
      <c r="Y1" s="1">
        <v>1.1499999999999999</v>
      </c>
      <c r="Z1" s="1">
        <v>1.1499999999999999</v>
      </c>
      <c r="AA1" s="1">
        <v>1.1499999999999999</v>
      </c>
      <c r="AB1" s="1">
        <v>1.1499999999999999</v>
      </c>
      <c r="AC1" s="1">
        <v>1.1499999999999999</v>
      </c>
      <c r="AD1" s="1">
        <v>1.1499999999999999</v>
      </c>
      <c r="AE1" s="1">
        <v>1.1499999999999999</v>
      </c>
      <c r="AF1" s="1">
        <v>1.1499999999999999</v>
      </c>
      <c r="AG1" s="1">
        <v>1.1499999999999999</v>
      </c>
    </row>
    <row r="2" spans="1:62" x14ac:dyDescent="0.2">
      <c r="A2" s="1" t="s">
        <v>0</v>
      </c>
      <c r="C2" s="27">
        <v>15</v>
      </c>
      <c r="H2" s="1" t="s">
        <v>217</v>
      </c>
      <c r="I2" s="1">
        <v>1</v>
      </c>
      <c r="J2" s="1">
        <v>2</v>
      </c>
      <c r="K2" s="1">
        <v>2</v>
      </c>
      <c r="L2" s="1">
        <v>0.6</v>
      </c>
      <c r="M2" s="1">
        <v>1.1499999999999999</v>
      </c>
      <c r="N2" s="1">
        <v>1.1499999999999999</v>
      </c>
      <c r="O2" s="1">
        <v>1.2</v>
      </c>
      <c r="P2" s="1">
        <v>1.2</v>
      </c>
      <c r="Q2" s="1">
        <v>1.2</v>
      </c>
      <c r="R2" s="1">
        <v>1.3</v>
      </c>
      <c r="S2" s="1">
        <v>1.3</v>
      </c>
      <c r="T2" s="1">
        <v>1.4</v>
      </c>
      <c r="U2" s="1">
        <v>1.1499999999999999</v>
      </c>
      <c r="V2" s="1">
        <v>1.1499999999999999</v>
      </c>
      <c r="W2" s="1">
        <v>1.1499999999999999</v>
      </c>
      <c r="X2" s="1">
        <v>1.1499999999999999</v>
      </c>
      <c r="Y2" s="1">
        <v>1.1499999999999999</v>
      </c>
      <c r="Z2" s="1">
        <v>1.1499999999999999</v>
      </c>
      <c r="AA2" s="1">
        <v>1.1499999999999999</v>
      </c>
      <c r="AB2" s="1">
        <v>1.1499999999999999</v>
      </c>
      <c r="AC2" s="1">
        <v>1.1499999999999999</v>
      </c>
      <c r="AD2" s="1">
        <v>1.1499999999999999</v>
      </c>
      <c r="AE2" s="1">
        <v>1.1499999999999999</v>
      </c>
      <c r="AF2" s="1">
        <v>1.1499999999999999</v>
      </c>
      <c r="AG2" s="1">
        <v>1.1499999999999999</v>
      </c>
    </row>
    <row r="3" spans="1:62" x14ac:dyDescent="0.2">
      <c r="A3" s="1" t="s">
        <v>1</v>
      </c>
      <c r="C3" s="28"/>
    </row>
    <row r="4" spans="1:62" x14ac:dyDescent="0.2">
      <c r="A4" s="1" t="s">
        <v>27</v>
      </c>
      <c r="C4" s="2">
        <v>0.05</v>
      </c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</row>
    <row r="5" spans="1:62" ht="17" customHeight="1" thickBot="1" x14ac:dyDescent="0.25">
      <c r="A5" s="3" t="s">
        <v>28</v>
      </c>
      <c r="B5" s="3"/>
      <c r="C5" s="4">
        <v>0.2</v>
      </c>
      <c r="I5" s="1" t="s">
        <v>224</v>
      </c>
    </row>
    <row r="6" spans="1:62" x14ac:dyDescent="0.2">
      <c r="I6" s="40" t="s">
        <v>2</v>
      </c>
      <c r="J6" s="40" t="s">
        <v>3</v>
      </c>
      <c r="K6" s="40" t="s">
        <v>4</v>
      </c>
      <c r="L6" s="40" t="s">
        <v>5</v>
      </c>
      <c r="M6" s="40" t="s">
        <v>6</v>
      </c>
      <c r="N6" s="40" t="s">
        <v>7</v>
      </c>
      <c r="O6" s="40" t="s">
        <v>8</v>
      </c>
      <c r="P6" s="40" t="s">
        <v>9</v>
      </c>
      <c r="Q6" s="40" t="s">
        <v>10</v>
      </c>
      <c r="R6" s="40" t="s">
        <v>11</v>
      </c>
      <c r="S6" s="40" t="s">
        <v>12</v>
      </c>
      <c r="T6" s="40" t="s">
        <v>13</v>
      </c>
      <c r="U6" s="40" t="s">
        <v>14</v>
      </c>
      <c r="V6" s="40" t="s">
        <v>15</v>
      </c>
      <c r="W6" s="40" t="s">
        <v>16</v>
      </c>
      <c r="X6" s="40" t="s">
        <v>17</v>
      </c>
      <c r="Y6" s="40" t="s">
        <v>18</v>
      </c>
      <c r="Z6" s="40" t="s">
        <v>19</v>
      </c>
      <c r="AA6" s="40" t="s">
        <v>20</v>
      </c>
      <c r="AB6" s="40" t="s">
        <v>21</v>
      </c>
      <c r="AC6" s="40" t="s">
        <v>22</v>
      </c>
      <c r="AD6" s="40" t="s">
        <v>23</v>
      </c>
      <c r="AE6" s="40" t="s">
        <v>24</v>
      </c>
      <c r="AF6" s="40" t="s">
        <v>25</v>
      </c>
      <c r="AG6" s="40" t="s">
        <v>26</v>
      </c>
    </row>
    <row r="7" spans="1:62" x14ac:dyDescent="0.2">
      <c r="H7" s="8" t="s">
        <v>73</v>
      </c>
      <c r="I7" s="6">
        <f>I17+I20</f>
        <v>18</v>
      </c>
      <c r="J7" s="46">
        <f>J17+J20</f>
        <v>20.65</v>
      </c>
      <c r="K7" s="46">
        <f>K17+K20</f>
        <v>26.017499999999998</v>
      </c>
      <c r="L7" s="46">
        <f t="shared" ref="L7:T7" si="0">L17+L20</f>
        <v>29.366624999999996</v>
      </c>
      <c r="M7" s="46">
        <f t="shared" si="0"/>
        <v>33.598293749999996</v>
      </c>
      <c r="N7" s="46">
        <f t="shared" si="0"/>
        <v>38.473379062499994</v>
      </c>
      <c r="O7" s="46">
        <f t="shared" si="0"/>
        <v>44.464872609374993</v>
      </c>
      <c r="P7" s="46">
        <f t="shared" si="0"/>
        <v>51.739823978906244</v>
      </c>
      <c r="Q7" s="46">
        <f t="shared" si="0"/>
        <v>60.550666779960927</v>
      </c>
      <c r="R7" s="46">
        <f t="shared" si="0"/>
        <v>72.503143840962878</v>
      </c>
      <c r="S7" s="46">
        <f t="shared" si="0"/>
        <v>88.352000168914728</v>
      </c>
      <c r="T7" s="46">
        <f t="shared" si="0"/>
        <v>110.17752730446898</v>
      </c>
      <c r="U7" s="46">
        <f t="shared" ref="U7:AG7" si="1">U17+U20</f>
        <v>134.21389341924552</v>
      </c>
      <c r="V7" s="46">
        <f t="shared" si="1"/>
        <v>161.48022760028323</v>
      </c>
      <c r="W7" s="46">
        <f t="shared" si="1"/>
        <v>193.57539202648303</v>
      </c>
      <c r="X7" s="46">
        <f t="shared" si="1"/>
        <v>231.24154686003968</v>
      </c>
      <c r="Y7" s="46">
        <f t="shared" si="1"/>
        <v>273.92892594439604</v>
      </c>
      <c r="Z7" s="46">
        <f t="shared" si="1"/>
        <v>322.61935453863839</v>
      </c>
      <c r="AA7" s="46">
        <f t="shared" si="1"/>
        <v>378.23329293688789</v>
      </c>
      <c r="AB7" s="46">
        <f t="shared" si="1"/>
        <v>441.82827033400207</v>
      </c>
      <c r="AC7" s="46">
        <f t="shared" si="1"/>
        <v>514.61949516785432</v>
      </c>
      <c r="AD7" s="46">
        <f t="shared" si="1"/>
        <v>598.00355451259691</v>
      </c>
      <c r="AE7" s="46">
        <f t="shared" si="1"/>
        <v>693.58566600557265</v>
      </c>
      <c r="AF7" s="46">
        <f t="shared" si="1"/>
        <v>803.21101530669046</v>
      </c>
      <c r="AG7" s="46">
        <f t="shared" si="1"/>
        <v>929.00079203296173</v>
      </c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2" ht="15" customHeight="1" x14ac:dyDescent="0.2">
      <c r="D8" s="6"/>
      <c r="H8" s="8" t="s">
        <v>29</v>
      </c>
      <c r="I8" s="5">
        <f t="shared" ref="I8:J8" si="2">I27</f>
        <v>13800</v>
      </c>
      <c r="J8" s="5">
        <f t="shared" si="2"/>
        <v>23765</v>
      </c>
      <c r="K8" s="5">
        <f t="shared" ref="K8:L8" si="3">K27</f>
        <v>43386.241525423728</v>
      </c>
      <c r="L8" s="5">
        <f t="shared" si="3"/>
        <v>53119.271301686604</v>
      </c>
      <c r="M8" s="5">
        <f t="shared" ref="M8:T8" si="4">M27</f>
        <v>64621.846951044106</v>
      </c>
      <c r="N8" s="5">
        <f t="shared" si="4"/>
        <v>77564.821824021506</v>
      </c>
      <c r="O8" s="5">
        <f t="shared" si="4"/>
        <v>93090.439162160154</v>
      </c>
      <c r="P8" s="5">
        <f t="shared" si="4"/>
        <v>111621.66254045507</v>
      </c>
      <c r="Q8" s="5">
        <f t="shared" si="4"/>
        <v>133767.1452258827</v>
      </c>
      <c r="R8" s="5">
        <f t="shared" si="4"/>
        <v>163383.16561432742</v>
      </c>
      <c r="S8" s="5">
        <f t="shared" si="4"/>
        <v>202309.95264291283</v>
      </c>
      <c r="T8" s="5">
        <f t="shared" si="4"/>
        <v>257950.25425908354</v>
      </c>
      <c r="U8" s="5">
        <f t="shared" ref="U8:AG8" si="5">U27</f>
        <v>319010.58808566624</v>
      </c>
      <c r="V8" s="5">
        <f t="shared" si="5"/>
        <v>387951.76031181519</v>
      </c>
      <c r="W8" s="5">
        <f t="shared" si="5"/>
        <v>466615.78603798815</v>
      </c>
      <c r="X8" s="5">
        <f t="shared" si="5"/>
        <v>556310.20783676591</v>
      </c>
      <c r="Y8" s="5">
        <f t="shared" si="5"/>
        <v>658073.32664091967</v>
      </c>
      <c r="Z8" s="5">
        <f t="shared" si="5"/>
        <v>774258.65892756754</v>
      </c>
      <c r="AA8" s="5">
        <f t="shared" si="5"/>
        <v>907072.28654460551</v>
      </c>
      <c r="AB8" s="5">
        <f t="shared" si="5"/>
        <v>1059050.8364316346</v>
      </c>
      <c r="AC8" s="5">
        <f t="shared" si="5"/>
        <v>1233110.9424065221</v>
      </c>
      <c r="AD8" s="5">
        <f t="shared" si="5"/>
        <v>1432606.2365634816</v>
      </c>
      <c r="AE8" s="5">
        <f t="shared" si="5"/>
        <v>1661392.9649063165</v>
      </c>
      <c r="AF8" s="5">
        <f t="shared" si="5"/>
        <v>1923905.5013437597</v>
      </c>
      <c r="AG8" s="5">
        <f t="shared" si="5"/>
        <v>2225243.2340555466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15" customHeight="1" x14ac:dyDescent="0.2">
      <c r="C9" s="8"/>
      <c r="D9" s="6"/>
      <c r="H9" s="8" t="s">
        <v>30</v>
      </c>
      <c r="I9" s="5">
        <f>SUM($I$27:I27)</f>
        <v>13800</v>
      </c>
      <c r="J9" s="5">
        <f>SUM($J$27:J27)</f>
        <v>23765</v>
      </c>
      <c r="K9" s="5">
        <f>SUM(K27:K27)</f>
        <v>43386.241525423728</v>
      </c>
      <c r="L9" s="5">
        <f t="shared" ref="L9:T9" si="6">SUM(L27:L27)</f>
        <v>53119.271301686604</v>
      </c>
      <c r="M9" s="5">
        <f t="shared" si="6"/>
        <v>64621.846951044106</v>
      </c>
      <c r="N9" s="5">
        <f t="shared" si="6"/>
        <v>77564.821824021506</v>
      </c>
      <c r="O9" s="5">
        <f t="shared" si="6"/>
        <v>93090.439162160154</v>
      </c>
      <c r="P9" s="5">
        <f t="shared" si="6"/>
        <v>111621.66254045507</v>
      </c>
      <c r="Q9" s="5">
        <f t="shared" si="6"/>
        <v>133767.1452258827</v>
      </c>
      <c r="R9" s="5">
        <f t="shared" si="6"/>
        <v>163383.16561432742</v>
      </c>
      <c r="S9" s="5">
        <f t="shared" si="6"/>
        <v>202309.95264291283</v>
      </c>
      <c r="T9" s="5">
        <f t="shared" si="6"/>
        <v>257950.25425908354</v>
      </c>
      <c r="U9" s="5">
        <f t="shared" ref="U9:AG9" si="7">SUM(U27:U27)</f>
        <v>319010.58808566624</v>
      </c>
      <c r="V9" s="5">
        <f t="shared" si="7"/>
        <v>387951.76031181519</v>
      </c>
      <c r="W9" s="5">
        <f t="shared" si="7"/>
        <v>466615.78603798815</v>
      </c>
      <c r="X9" s="5">
        <f t="shared" si="7"/>
        <v>556310.20783676591</v>
      </c>
      <c r="Y9" s="5">
        <f t="shared" si="7"/>
        <v>658073.32664091967</v>
      </c>
      <c r="Z9" s="5">
        <f t="shared" si="7"/>
        <v>774258.65892756754</v>
      </c>
      <c r="AA9" s="5">
        <f t="shared" si="7"/>
        <v>907072.28654460551</v>
      </c>
      <c r="AB9" s="5">
        <f t="shared" si="7"/>
        <v>1059050.8364316346</v>
      </c>
      <c r="AC9" s="5">
        <f t="shared" si="7"/>
        <v>1233110.9424065221</v>
      </c>
      <c r="AD9" s="5">
        <f t="shared" si="7"/>
        <v>1432606.2365634816</v>
      </c>
      <c r="AE9" s="5">
        <f t="shared" si="7"/>
        <v>1661392.9649063165</v>
      </c>
      <c r="AF9" s="5">
        <f t="shared" si="7"/>
        <v>1923905.5013437597</v>
      </c>
      <c r="AG9" s="5">
        <f t="shared" si="7"/>
        <v>2225243.2340555466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ht="15.75" customHeight="1" x14ac:dyDescent="0.2">
      <c r="C10" s="9"/>
      <c r="D10" s="35"/>
      <c r="H10" s="9" t="s">
        <v>218</v>
      </c>
      <c r="I10" s="5">
        <f>I37</f>
        <v>-13755.919999999998</v>
      </c>
      <c r="J10" s="5">
        <f t="shared" ref="J10:AG10" si="8">J37</f>
        <v>-13993.544749999999</v>
      </c>
      <c r="K10" s="5">
        <f t="shared" si="8"/>
        <v>-16362.575118749999</v>
      </c>
      <c r="L10" s="5">
        <f t="shared" si="8"/>
        <v>-17249.869121718748</v>
      </c>
      <c r="M10" s="5">
        <f t="shared" si="8"/>
        <v>-18557.870162261715</v>
      </c>
      <c r="N10" s="5">
        <f t="shared" si="8"/>
        <v>-20030.084375693255</v>
      </c>
      <c r="O10" s="5">
        <f t="shared" si="8"/>
        <v>-22154.147094679338</v>
      </c>
      <c r="P10" s="5">
        <f t="shared" si="8"/>
        <v>-24655.97350355882</v>
      </c>
      <c r="Q10" s="5">
        <f t="shared" si="8"/>
        <v>-27609.94011896279</v>
      </c>
      <c r="R10" s="5">
        <f t="shared" si="8"/>
        <v>-32708.172631530862</v>
      </c>
      <c r="S10" s="5">
        <f t="shared" si="8"/>
        <v>-39256.25615979133</v>
      </c>
      <c r="T10" s="5">
        <f t="shared" si="8"/>
        <v>-47687.155539999978</v>
      </c>
      <c r="U10" s="5">
        <f t="shared" si="8"/>
        <v>-53281.307550808153</v>
      </c>
      <c r="V10" s="5">
        <f t="shared" si="8"/>
        <v>-59675.609330232779</v>
      </c>
      <c r="W10" s="5">
        <f t="shared" si="8"/>
        <v>-69317.752799442213</v>
      </c>
      <c r="X10" s="5">
        <f t="shared" si="8"/>
        <v>-80831.000502572584</v>
      </c>
      <c r="Y10" s="5">
        <f t="shared" si="8"/>
        <v>-91234.893129260599</v>
      </c>
      <c r="Z10" s="5">
        <f t="shared" si="8"/>
        <v>-103156.3507137344</v>
      </c>
      <c r="AA10" s="5">
        <f t="shared" si="8"/>
        <v>-116821.93252625635</v>
      </c>
      <c r="AB10" s="5">
        <f t="shared" si="8"/>
        <v>-132492.15484079317</v>
      </c>
      <c r="AC10" s="5">
        <f t="shared" si="8"/>
        <v>-150466.58381340042</v>
      </c>
      <c r="AD10" s="5">
        <f t="shared" si="8"/>
        <v>-171089.69227556098</v>
      </c>
      <c r="AE10" s="5">
        <f t="shared" si="8"/>
        <v>-194757.59502929944</v>
      </c>
      <c r="AF10" s="5">
        <f t="shared" si="8"/>
        <v>-221925.79441890874</v>
      </c>
      <c r="AG10" s="5">
        <f t="shared" si="8"/>
        <v>-253118.08772033977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</row>
    <row r="11" spans="1:62" ht="15.75" customHeight="1" x14ac:dyDescent="0.2">
      <c r="C11" s="9"/>
      <c r="D11" s="35"/>
      <c r="H11" s="9" t="s">
        <v>220</v>
      </c>
      <c r="I11" s="5">
        <f>I61</f>
        <v>-107642.66659090914</v>
      </c>
      <c r="J11" s="5">
        <f t="shared" ref="J11:AG11" si="9">J61</f>
        <v>-138676.38657954551</v>
      </c>
      <c r="K11" s="5">
        <f t="shared" si="9"/>
        <v>-149936.26973409095</v>
      </c>
      <c r="L11" s="5">
        <f t="shared" si="9"/>
        <v>-150636.29864200289</v>
      </c>
      <c r="M11" s="5">
        <f t="shared" si="9"/>
        <v>-155566.79717641589</v>
      </c>
      <c r="N11" s="5">
        <f t="shared" si="9"/>
        <v>-230322.45978102554</v>
      </c>
      <c r="O11" s="5">
        <f t="shared" si="9"/>
        <v>-273681.66015786317</v>
      </c>
      <c r="P11" s="5">
        <f t="shared" si="9"/>
        <v>-330458.74535677023</v>
      </c>
      <c r="Q11" s="5">
        <f t="shared" si="9"/>
        <v>-334702.61713134183</v>
      </c>
      <c r="R11" s="5">
        <f t="shared" si="9"/>
        <v>-363229.64551074762</v>
      </c>
      <c r="S11" s="5">
        <f t="shared" si="9"/>
        <v>-373119.74385994521</v>
      </c>
      <c r="T11" s="5">
        <f t="shared" si="9"/>
        <v>-412705.92701852426</v>
      </c>
      <c r="U11" s="5">
        <f t="shared" si="9"/>
        <v>-414321.49483593885</v>
      </c>
      <c r="V11" s="5">
        <f t="shared" si="9"/>
        <v>-440225.55201084877</v>
      </c>
      <c r="W11" s="5">
        <f t="shared" si="9"/>
        <v>-452487.07352254936</v>
      </c>
      <c r="X11" s="5">
        <f t="shared" si="9"/>
        <v>-490821.84937054681</v>
      </c>
      <c r="Y11" s="5">
        <f t="shared" si="9"/>
        <v>-506624.23026010743</v>
      </c>
      <c r="Z11" s="5">
        <f t="shared" si="9"/>
        <v>-548385.27022666356</v>
      </c>
      <c r="AA11" s="5">
        <f t="shared" si="9"/>
        <v>-580087.62128035421</v>
      </c>
      <c r="AB11" s="5">
        <f t="shared" si="9"/>
        <v>-639284.01336155273</v>
      </c>
      <c r="AC11" s="5">
        <f t="shared" si="9"/>
        <v>-681895.54043362255</v>
      </c>
      <c r="AD11" s="5">
        <f t="shared" si="9"/>
        <v>-753527.06279966072</v>
      </c>
      <c r="AE11" s="5">
        <f t="shared" si="9"/>
        <v>-810323.69294709188</v>
      </c>
      <c r="AF11" s="5">
        <f t="shared" si="9"/>
        <v>-898147.68491316156</v>
      </c>
      <c r="AG11" s="5">
        <f t="shared" si="9"/>
        <v>-973439.91543667356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</row>
    <row r="12" spans="1:62" ht="15.75" customHeight="1" x14ac:dyDescent="0.2">
      <c r="C12" s="8"/>
      <c r="D12" s="35"/>
      <c r="H12" s="9" t="s">
        <v>31</v>
      </c>
      <c r="I12" s="5">
        <v>0</v>
      </c>
      <c r="J12" s="5">
        <f>I14</f>
        <v>-107598.58659090914</v>
      </c>
      <c r="K12" s="5">
        <f t="shared" ref="K12:T12" si="10">J14</f>
        <v>-21503.517920454644</v>
      </c>
      <c r="L12" s="5">
        <f t="shared" si="10"/>
        <v>355583.8787521281</v>
      </c>
      <c r="M12" s="5">
        <f t="shared" si="10"/>
        <v>300816.98229009309</v>
      </c>
      <c r="N12" s="5">
        <f t="shared" si="10"/>
        <v>251314.1619024596</v>
      </c>
      <c r="O12" s="5">
        <f t="shared" si="10"/>
        <v>193526.4395697623</v>
      </c>
      <c r="P12" s="5">
        <f t="shared" si="10"/>
        <v>140781.07147937993</v>
      </c>
      <c r="Q12" s="5">
        <f t="shared" si="10"/>
        <v>97288.015159505943</v>
      </c>
      <c r="R12" s="5">
        <f t="shared" si="10"/>
        <v>68742.603135084035</v>
      </c>
      <c r="S12" s="5">
        <f t="shared" si="10"/>
        <v>36187.950607132982</v>
      </c>
      <c r="T12" s="5">
        <f t="shared" si="10"/>
        <v>26121.903230309254</v>
      </c>
      <c r="U12" s="5">
        <f t="shared" ref="U12" si="11">T14</f>
        <v>23679.074930868548</v>
      </c>
      <c r="V12" s="5">
        <f t="shared" ref="V12" si="12">U14</f>
        <v>75086.860629787814</v>
      </c>
      <c r="W12" s="5">
        <f t="shared" ref="W12" si="13">V14</f>
        <v>163137.45960052146</v>
      </c>
      <c r="X12" s="5">
        <f t="shared" ref="X12" si="14">W14</f>
        <v>307948.419316518</v>
      </c>
      <c r="Y12" s="5">
        <f t="shared" ref="Y12" si="15">X14</f>
        <v>492605.77728016453</v>
      </c>
      <c r="Z12" s="5">
        <f t="shared" ref="Z12" si="16">Y14</f>
        <v>552819.98053171614</v>
      </c>
      <c r="AA12" s="5">
        <f t="shared" ref="AA12" si="17">Z14</f>
        <v>675537.01851888571</v>
      </c>
      <c r="AB12" s="5">
        <f t="shared" ref="AB12" si="18">AA14</f>
        <v>885699.7512568807</v>
      </c>
      <c r="AC12" s="5">
        <f t="shared" ref="AC12" si="19">AB14</f>
        <v>1172974.4194861692</v>
      </c>
      <c r="AD12" s="5">
        <f t="shared" ref="AD12" si="20">AC14</f>
        <v>1573723.2376456684</v>
      </c>
      <c r="AE12" s="5">
        <f t="shared" ref="AE12" si="21">AD14</f>
        <v>2081712.7191339284</v>
      </c>
      <c r="AF12" s="5">
        <f t="shared" ref="AF12" si="22">AE14</f>
        <v>2738024.3960638535</v>
      </c>
      <c r="AG12" s="5">
        <f t="shared" ref="AG12" si="23">AF14</f>
        <v>3541856.4180755429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</row>
    <row r="13" spans="1:62" ht="15.75" customHeight="1" thickBot="1" x14ac:dyDescent="0.25">
      <c r="C13" s="8"/>
      <c r="D13" s="35"/>
      <c r="H13" s="9" t="s">
        <v>32</v>
      </c>
      <c r="I13" s="5"/>
      <c r="J13" s="5">
        <v>215000</v>
      </c>
      <c r="K13" s="5">
        <v>500000</v>
      </c>
      <c r="L13" s="5">
        <v>60000</v>
      </c>
      <c r="M13" s="5">
        <v>60000</v>
      </c>
      <c r="N13" s="5">
        <v>115000</v>
      </c>
      <c r="O13" s="5">
        <v>150000</v>
      </c>
      <c r="P13" s="5">
        <v>200000</v>
      </c>
      <c r="Q13" s="5">
        <v>200000</v>
      </c>
      <c r="R13" s="5">
        <v>200000</v>
      </c>
      <c r="S13" s="5">
        <f>S91*-1</f>
        <v>200000</v>
      </c>
      <c r="T13" s="5">
        <f t="shared" ref="T13:U13" si="24">T91*-1</f>
        <v>200000</v>
      </c>
      <c r="U13" s="5">
        <f t="shared" si="24"/>
        <v>200000</v>
      </c>
      <c r="V13" s="5">
        <f>V91*-1</f>
        <v>200000</v>
      </c>
      <c r="W13" s="5">
        <f t="shared" ref="W13:X13" si="25">W91*-1</f>
        <v>200000</v>
      </c>
      <c r="X13" s="5">
        <f t="shared" si="25"/>
        <v>200000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2" ht="16" thickTop="1" x14ac:dyDescent="0.2">
      <c r="A14" s="82" t="s">
        <v>33</v>
      </c>
      <c r="B14" s="82"/>
      <c r="C14" s="82"/>
      <c r="D14" s="35"/>
      <c r="E14" s="82" t="s">
        <v>34</v>
      </c>
      <c r="F14" s="82"/>
      <c r="H14" s="9" t="s">
        <v>35</v>
      </c>
      <c r="I14" s="10">
        <f>SUM(I9:I13)</f>
        <v>-107598.58659090914</v>
      </c>
      <c r="J14" s="10">
        <f>SUM(J9:J13)</f>
        <v>-21503.517920454644</v>
      </c>
      <c r="K14" s="10">
        <f>SUM(K9:K13)</f>
        <v>355583.8787521281</v>
      </c>
      <c r="L14" s="10">
        <f t="shared" ref="L14:R14" si="26">SUM(L9:L13)</f>
        <v>300816.98229009309</v>
      </c>
      <c r="M14" s="10">
        <f t="shared" si="26"/>
        <v>251314.1619024596</v>
      </c>
      <c r="N14" s="10">
        <f t="shared" si="26"/>
        <v>193526.4395697623</v>
      </c>
      <c r="O14" s="10">
        <f t="shared" si="26"/>
        <v>140781.07147937993</v>
      </c>
      <c r="P14" s="10">
        <f t="shared" si="26"/>
        <v>97288.015159505943</v>
      </c>
      <c r="Q14" s="10">
        <f t="shared" si="26"/>
        <v>68742.603135084035</v>
      </c>
      <c r="R14" s="10">
        <f t="shared" si="26"/>
        <v>36187.950607132982</v>
      </c>
      <c r="S14" s="10">
        <f t="shared" ref="S14" si="27">SUM(S9:S13)</f>
        <v>26121.903230309254</v>
      </c>
      <c r="T14" s="10">
        <f t="shared" ref="T14" si="28">SUM(T9:T13)</f>
        <v>23679.074930868548</v>
      </c>
      <c r="U14" s="10">
        <f t="shared" ref="U14" si="29">SUM(U9:U13)</f>
        <v>75086.860629787814</v>
      </c>
      <c r="V14" s="10">
        <f t="shared" ref="V14" si="30">SUM(V9:V13)</f>
        <v>163137.45960052146</v>
      </c>
      <c r="W14" s="10">
        <f t="shared" ref="W14" si="31">SUM(W9:W13)</f>
        <v>307948.419316518</v>
      </c>
      <c r="X14" s="10">
        <f t="shared" ref="X14" si="32">SUM(X9:X13)</f>
        <v>492605.77728016453</v>
      </c>
      <c r="Y14" s="10">
        <f t="shared" ref="Y14" si="33">SUM(Y9:Y13)</f>
        <v>552819.98053171614</v>
      </c>
      <c r="Z14" s="10">
        <f t="shared" ref="Z14" si="34">SUM(Z9:Z13)</f>
        <v>675537.01851888571</v>
      </c>
      <c r="AA14" s="10">
        <f t="shared" ref="AA14" si="35">SUM(AA9:AA13)</f>
        <v>885699.7512568807</v>
      </c>
      <c r="AB14" s="10">
        <f t="shared" ref="AB14" si="36">SUM(AB9:AB13)</f>
        <v>1172974.4194861692</v>
      </c>
      <c r="AC14" s="10">
        <f t="shared" ref="AC14" si="37">SUM(AC9:AC13)</f>
        <v>1573723.2376456684</v>
      </c>
      <c r="AD14" s="10">
        <f t="shared" ref="AD14" si="38">SUM(AD9:AD13)</f>
        <v>2081712.7191339284</v>
      </c>
      <c r="AE14" s="10">
        <f t="shared" ref="AE14" si="39">SUM(AE9:AE13)</f>
        <v>2738024.3960638535</v>
      </c>
      <c r="AF14" s="10">
        <f t="shared" ref="AF14" si="40">SUM(AF9:AF13)</f>
        <v>3541856.4180755429</v>
      </c>
      <c r="AG14" s="10">
        <f t="shared" ref="AG14" si="41">SUM(AG9:AG13)</f>
        <v>4540541.6489740759</v>
      </c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x14ac:dyDescent="0.2">
      <c r="A15" s="82"/>
      <c r="B15" s="82"/>
      <c r="C15" s="82"/>
      <c r="D15" s="6"/>
      <c r="E15" s="82"/>
      <c r="F15" s="82"/>
      <c r="H15" s="8" t="s">
        <v>36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</row>
    <row r="16" spans="1:62" ht="19" x14ac:dyDescent="0.25">
      <c r="A16" s="12" t="s">
        <v>37</v>
      </c>
      <c r="B16" s="12"/>
      <c r="C16" s="13"/>
      <c r="D16" s="33"/>
      <c r="E16" s="12" t="s">
        <v>38</v>
      </c>
      <c r="F16" s="14"/>
      <c r="H16" s="12" t="s">
        <v>37</v>
      </c>
      <c r="I16" s="15">
        <v>1</v>
      </c>
      <c r="J16" s="15">
        <v>2</v>
      </c>
      <c r="K16" s="15">
        <v>3</v>
      </c>
      <c r="L16" s="15">
        <v>4</v>
      </c>
      <c r="M16" s="15">
        <v>5</v>
      </c>
      <c r="N16" s="15">
        <v>6</v>
      </c>
      <c r="O16" s="15">
        <v>7</v>
      </c>
      <c r="P16" s="15">
        <v>8</v>
      </c>
      <c r="Q16" s="15">
        <v>9</v>
      </c>
      <c r="R16" s="15">
        <v>10</v>
      </c>
      <c r="S16" s="15">
        <v>11</v>
      </c>
      <c r="T16" s="15">
        <v>12</v>
      </c>
      <c r="U16" s="15">
        <v>13</v>
      </c>
      <c r="V16" s="15">
        <v>14</v>
      </c>
      <c r="W16" s="15">
        <v>15</v>
      </c>
      <c r="X16" s="15">
        <v>16</v>
      </c>
      <c r="Y16" s="15">
        <v>17</v>
      </c>
      <c r="Z16" s="15">
        <v>18</v>
      </c>
      <c r="AA16" s="15">
        <v>19</v>
      </c>
      <c r="AB16" s="15">
        <v>20</v>
      </c>
      <c r="AC16" s="15">
        <v>21</v>
      </c>
      <c r="AD16" s="15">
        <v>22</v>
      </c>
      <c r="AE16" s="15">
        <v>23</v>
      </c>
      <c r="AF16" s="15">
        <v>24</v>
      </c>
      <c r="AG16" s="15">
        <v>25</v>
      </c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</row>
    <row r="17" spans="1:62" ht="16" x14ac:dyDescent="0.2">
      <c r="A17" s="16" t="s">
        <v>39</v>
      </c>
      <c r="B17" s="16"/>
      <c r="C17" s="6">
        <v>15</v>
      </c>
      <c r="D17" s="6"/>
      <c r="E17" s="16" t="s">
        <v>39</v>
      </c>
      <c r="F17" s="6">
        <v>100</v>
      </c>
      <c r="H17" s="16" t="s">
        <v>39</v>
      </c>
      <c r="I17" s="6">
        <f>C17</f>
        <v>15</v>
      </c>
      <c r="J17" s="7">
        <f t="shared" ref="J17:AG17" si="42">(I17-(I17*$C$4))+(I20-(I20*$C$5))</f>
        <v>16.649999999999999</v>
      </c>
      <c r="K17" s="7">
        <f t="shared" si="42"/>
        <v>19.017499999999998</v>
      </c>
      <c r="L17" s="7">
        <f t="shared" si="42"/>
        <v>23.666624999999996</v>
      </c>
      <c r="M17" s="7">
        <f t="shared" si="42"/>
        <v>27.043293749999997</v>
      </c>
      <c r="N17" s="7">
        <f t="shared" si="42"/>
        <v>30.935129062499996</v>
      </c>
      <c r="O17" s="7">
        <f t="shared" si="42"/>
        <v>35.418972609374997</v>
      </c>
      <c r="P17" s="7">
        <f t="shared" si="42"/>
        <v>40.884743978906243</v>
      </c>
      <c r="Q17" s="7">
        <f t="shared" si="42"/>
        <v>47.524570779960932</v>
      </c>
      <c r="R17" s="7">
        <f t="shared" si="42"/>
        <v>55.569219040962878</v>
      </c>
      <c r="S17" s="7">
        <f t="shared" si="42"/>
        <v>66.337897928914728</v>
      </c>
      <c r="T17" s="7">
        <f t="shared" si="42"/>
        <v>80.632284824468982</v>
      </c>
      <c r="U17" s="7">
        <f t="shared" si="42"/>
        <v>100.23686456724553</v>
      </c>
      <c r="V17" s="7">
        <f t="shared" si="42"/>
        <v>122.40664442048325</v>
      </c>
      <c r="W17" s="7">
        <f t="shared" si="42"/>
        <v>147.54517874329906</v>
      </c>
      <c r="X17" s="7">
        <f t="shared" si="42"/>
        <v>176.99209043268129</v>
      </c>
      <c r="Y17" s="7">
        <f t="shared" si="42"/>
        <v>211.54205105293391</v>
      </c>
      <c r="Z17" s="7">
        <f t="shared" si="42"/>
        <v>250.87444841345692</v>
      </c>
      <c r="AA17" s="7">
        <f t="shared" si="42"/>
        <v>295.72665089292923</v>
      </c>
      <c r="AB17" s="7">
        <f t="shared" si="42"/>
        <v>346.94563198344963</v>
      </c>
      <c r="AC17" s="7">
        <f t="shared" si="42"/>
        <v>405.50446106471907</v>
      </c>
      <c r="AD17" s="7">
        <f t="shared" si="42"/>
        <v>472.52126529399135</v>
      </c>
      <c r="AE17" s="7">
        <f t="shared" si="42"/>
        <v>549.28103340417624</v>
      </c>
      <c r="AF17" s="7">
        <f t="shared" si="42"/>
        <v>637.26068781508457</v>
      </c>
      <c r="AG17" s="7">
        <f t="shared" si="42"/>
        <v>738.15791541761496</v>
      </c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</row>
    <row r="18" spans="1:62" ht="16" x14ac:dyDescent="0.2">
      <c r="A18" s="16" t="s">
        <v>40</v>
      </c>
      <c r="B18" s="16"/>
      <c r="C18" s="6">
        <v>2</v>
      </c>
      <c r="D18" s="6"/>
      <c r="E18" s="16" t="s">
        <v>40</v>
      </c>
      <c r="F18" s="7">
        <v>20</v>
      </c>
      <c r="H18" s="16" t="s">
        <v>40</v>
      </c>
      <c r="I18" s="7">
        <f>I1*2</f>
        <v>2</v>
      </c>
      <c r="J18" s="7">
        <f t="shared" ref="J18:AG18" si="43">J1*I18</f>
        <v>2</v>
      </c>
      <c r="K18" s="7">
        <f t="shared" si="43"/>
        <v>3</v>
      </c>
      <c r="L18" s="7">
        <f t="shared" si="43"/>
        <v>3.3000000000000003</v>
      </c>
      <c r="M18" s="7">
        <f t="shared" si="43"/>
        <v>3.7949999999999999</v>
      </c>
      <c r="N18" s="7">
        <f t="shared" si="43"/>
        <v>4.3642499999999993</v>
      </c>
      <c r="O18" s="7">
        <f t="shared" si="43"/>
        <v>5.237099999999999</v>
      </c>
      <c r="P18" s="7">
        <f t="shared" si="43"/>
        <v>6.2845199999999988</v>
      </c>
      <c r="Q18" s="7">
        <f t="shared" si="43"/>
        <v>7.5414239999999984</v>
      </c>
      <c r="R18" s="7">
        <f t="shared" si="43"/>
        <v>9.8038511999999987</v>
      </c>
      <c r="S18" s="7">
        <f t="shared" si="43"/>
        <v>12.745006559999998</v>
      </c>
      <c r="T18" s="7">
        <f t="shared" si="43"/>
        <v>16.568508527999999</v>
      </c>
      <c r="U18" s="7">
        <f t="shared" si="43"/>
        <v>19.053784807199996</v>
      </c>
      <c r="V18" s="7">
        <f t="shared" si="43"/>
        <v>21.911852528279994</v>
      </c>
      <c r="W18" s="7">
        <f t="shared" si="43"/>
        <v>26.294223033935992</v>
      </c>
      <c r="X18" s="7">
        <f t="shared" si="43"/>
        <v>31.553067640723189</v>
      </c>
      <c r="Y18" s="7">
        <f t="shared" si="43"/>
        <v>36.286027786831667</v>
      </c>
      <c r="Z18" s="7">
        <f t="shared" si="43"/>
        <v>41.728931954856414</v>
      </c>
      <c r="AA18" s="7">
        <f t="shared" si="43"/>
        <v>47.98827174808487</v>
      </c>
      <c r="AB18" s="7">
        <f t="shared" si="43"/>
        <v>55.186512510297597</v>
      </c>
      <c r="AC18" s="7">
        <f t="shared" si="43"/>
        <v>63.464489386842232</v>
      </c>
      <c r="AD18" s="7">
        <f t="shared" si="43"/>
        <v>72.984162794868567</v>
      </c>
      <c r="AE18" s="7">
        <f t="shared" si="43"/>
        <v>83.931787214098847</v>
      </c>
      <c r="AF18" s="7">
        <f t="shared" si="43"/>
        <v>96.521555296213663</v>
      </c>
      <c r="AG18" s="7">
        <f t="shared" si="43"/>
        <v>110.99978859064571</v>
      </c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</row>
    <row r="19" spans="1:62" ht="16" x14ac:dyDescent="0.2">
      <c r="A19" s="16" t="s">
        <v>41</v>
      </c>
      <c r="B19" s="16"/>
      <c r="C19" s="6">
        <v>1</v>
      </c>
      <c r="D19" s="6"/>
      <c r="E19" s="16" t="s">
        <v>41</v>
      </c>
      <c r="F19" s="7">
        <v>4</v>
      </c>
      <c r="H19" s="16" t="s">
        <v>41</v>
      </c>
      <c r="I19" s="44">
        <f>I2*1</f>
        <v>1</v>
      </c>
      <c r="J19" s="44">
        <f t="shared" ref="J19:AG19" si="44">I19*J2</f>
        <v>2</v>
      </c>
      <c r="K19" s="44">
        <f t="shared" si="44"/>
        <v>4</v>
      </c>
      <c r="L19" s="44">
        <f t="shared" si="44"/>
        <v>2.4</v>
      </c>
      <c r="M19" s="44">
        <f t="shared" si="44"/>
        <v>2.76</v>
      </c>
      <c r="N19" s="44">
        <f t="shared" si="44"/>
        <v>3.1739999999999995</v>
      </c>
      <c r="O19" s="44">
        <f t="shared" si="44"/>
        <v>3.8087999999999993</v>
      </c>
      <c r="P19" s="44">
        <f t="shared" si="44"/>
        <v>4.5705599999999986</v>
      </c>
      <c r="Q19" s="44">
        <f t="shared" si="44"/>
        <v>5.484671999999998</v>
      </c>
      <c r="R19" s="44">
        <f t="shared" si="44"/>
        <v>7.1300735999999976</v>
      </c>
      <c r="S19" s="44">
        <f t="shared" si="44"/>
        <v>9.2690956799999977</v>
      </c>
      <c r="T19" s="44">
        <f t="shared" si="44"/>
        <v>12.976733951999996</v>
      </c>
      <c r="U19" s="44">
        <f t="shared" si="44"/>
        <v>14.923244044799995</v>
      </c>
      <c r="V19" s="44">
        <f t="shared" si="44"/>
        <v>17.161730651519992</v>
      </c>
      <c r="W19" s="44">
        <f t="shared" si="44"/>
        <v>19.73599024924799</v>
      </c>
      <c r="X19" s="44">
        <f t="shared" si="44"/>
        <v>22.696388786635186</v>
      </c>
      <c r="Y19" s="44">
        <f t="shared" si="44"/>
        <v>26.100847104630461</v>
      </c>
      <c r="Z19" s="44">
        <f t="shared" si="44"/>
        <v>30.015974170325027</v>
      </c>
      <c r="AA19" s="44">
        <f t="shared" si="44"/>
        <v>34.51837029587378</v>
      </c>
      <c r="AB19" s="44">
        <f t="shared" si="44"/>
        <v>39.696125840254844</v>
      </c>
      <c r="AC19" s="44">
        <f t="shared" si="44"/>
        <v>45.650544716293069</v>
      </c>
      <c r="AD19" s="44">
        <f t="shared" si="44"/>
        <v>52.498126423737027</v>
      </c>
      <c r="AE19" s="44">
        <f t="shared" si="44"/>
        <v>60.372845387297573</v>
      </c>
      <c r="AF19" s="44">
        <f t="shared" si="44"/>
        <v>69.428772195392199</v>
      </c>
      <c r="AG19" s="44">
        <f t="shared" si="44"/>
        <v>79.843088024701018</v>
      </c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</row>
    <row r="20" spans="1:62" ht="16" x14ac:dyDescent="0.2">
      <c r="A20" s="16" t="s">
        <v>42</v>
      </c>
      <c r="B20" s="16"/>
      <c r="C20" s="6">
        <v>1</v>
      </c>
      <c r="D20" s="6"/>
      <c r="E20" s="16" t="s">
        <v>42</v>
      </c>
      <c r="F20" s="44">
        <f>SUM(F18:F19)</f>
        <v>24</v>
      </c>
      <c r="H20" s="16" t="s">
        <v>42</v>
      </c>
      <c r="I20" s="44">
        <f>SUM(I18:I19)</f>
        <v>3</v>
      </c>
      <c r="J20" s="44">
        <f>SUM(J18:J19)</f>
        <v>4</v>
      </c>
      <c r="K20" s="44">
        <f t="shared" ref="K20:T20" si="45">SUM(K18:K19)</f>
        <v>7</v>
      </c>
      <c r="L20" s="44">
        <f t="shared" si="45"/>
        <v>5.7</v>
      </c>
      <c r="M20" s="44">
        <f t="shared" si="45"/>
        <v>6.5549999999999997</v>
      </c>
      <c r="N20" s="44">
        <f t="shared" si="45"/>
        <v>7.5382499999999988</v>
      </c>
      <c r="O20" s="44">
        <f t="shared" si="45"/>
        <v>9.0458999999999978</v>
      </c>
      <c r="P20" s="44">
        <f t="shared" si="45"/>
        <v>10.855079999999997</v>
      </c>
      <c r="Q20" s="44">
        <f t="shared" si="45"/>
        <v>13.026095999999995</v>
      </c>
      <c r="R20" s="44">
        <f t="shared" si="45"/>
        <v>16.933924799999996</v>
      </c>
      <c r="S20" s="44">
        <f t="shared" si="45"/>
        <v>22.014102239999996</v>
      </c>
      <c r="T20" s="44">
        <f t="shared" si="45"/>
        <v>29.545242479999995</v>
      </c>
      <c r="U20" s="44">
        <f t="shared" ref="U20:AG20" si="46">SUM(U18:U19)</f>
        <v>33.977028851999989</v>
      </c>
      <c r="V20" s="44">
        <f t="shared" si="46"/>
        <v>39.073583179799982</v>
      </c>
      <c r="W20" s="44">
        <f t="shared" si="46"/>
        <v>46.030213283183983</v>
      </c>
      <c r="X20" s="44">
        <f t="shared" si="46"/>
        <v>54.249456427358375</v>
      </c>
      <c r="Y20" s="44">
        <f t="shared" si="46"/>
        <v>62.386874891462128</v>
      </c>
      <c r="Z20" s="44">
        <f t="shared" si="46"/>
        <v>71.744906125181444</v>
      </c>
      <c r="AA20" s="44">
        <f t="shared" si="46"/>
        <v>82.506642043958649</v>
      </c>
      <c r="AB20" s="44">
        <f t="shared" si="46"/>
        <v>94.88263835055244</v>
      </c>
      <c r="AC20" s="44">
        <f t="shared" si="46"/>
        <v>109.1150341031353</v>
      </c>
      <c r="AD20" s="44">
        <f t="shared" si="46"/>
        <v>125.48228921860559</v>
      </c>
      <c r="AE20" s="44">
        <f t="shared" si="46"/>
        <v>144.30463260139641</v>
      </c>
      <c r="AF20" s="44">
        <f t="shared" si="46"/>
        <v>165.95032749160586</v>
      </c>
      <c r="AG20" s="44">
        <f t="shared" si="46"/>
        <v>190.84287661534671</v>
      </c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</row>
    <row r="21" spans="1:62" x14ac:dyDescent="0.2">
      <c r="A21" s="17" t="s">
        <v>43</v>
      </c>
      <c r="B21" s="17"/>
      <c r="C21" s="18">
        <v>520</v>
      </c>
      <c r="D21" s="6"/>
      <c r="E21" s="17" t="s">
        <v>43</v>
      </c>
      <c r="F21" s="44">
        <v>3500</v>
      </c>
      <c r="H21" s="17" t="s">
        <v>43</v>
      </c>
      <c r="I21" s="66">
        <v>520</v>
      </c>
      <c r="J21" s="66">
        <f t="shared" ref="J21:AG21" si="47">(I27/I7)</f>
        <v>766.66666666666663</v>
      </c>
      <c r="K21" s="66">
        <f t="shared" si="47"/>
        <v>1150.8474576271187</v>
      </c>
      <c r="L21" s="66">
        <f t="shared" si="47"/>
        <v>1667.5791880627935</v>
      </c>
      <c r="M21" s="66">
        <f t="shared" si="47"/>
        <v>1808.831328138205</v>
      </c>
      <c r="N21" s="66">
        <f t="shared" si="47"/>
        <v>1923.3669254720446</v>
      </c>
      <c r="O21" s="66">
        <f t="shared" si="47"/>
        <v>2016.0647105630487</v>
      </c>
      <c r="P21" s="66">
        <f t="shared" si="47"/>
        <v>2093.5726046032328</v>
      </c>
      <c r="Q21" s="66">
        <f t="shared" si="47"/>
        <v>2157.3645589896478</v>
      </c>
      <c r="R21" s="66">
        <f t="shared" si="47"/>
        <v>2209.1770799484007</v>
      </c>
      <c r="S21" s="66">
        <f t="shared" si="47"/>
        <v>2253.4631873717326</v>
      </c>
      <c r="T21" s="66">
        <f t="shared" si="47"/>
        <v>2289.8174603419156</v>
      </c>
      <c r="U21" s="66">
        <f t="shared" si="47"/>
        <v>2341.2238463679937</v>
      </c>
      <c r="V21" s="66">
        <f t="shared" si="47"/>
        <v>2376.882004973726</v>
      </c>
      <c r="W21" s="66">
        <f t="shared" si="47"/>
        <v>2402.4722164259247</v>
      </c>
      <c r="X21" s="66">
        <f t="shared" si="47"/>
        <v>2410.5119000567515</v>
      </c>
      <c r="Y21" s="66">
        <f t="shared" si="47"/>
        <v>2405.7537038250139</v>
      </c>
      <c r="Z21" s="66">
        <f t="shared" si="47"/>
        <v>2402.3506257039094</v>
      </c>
      <c r="AA21" s="66">
        <f t="shared" si="47"/>
        <v>2399.91385524528</v>
      </c>
      <c r="AB21" s="66">
        <f t="shared" si="47"/>
        <v>2398.1820307287435</v>
      </c>
      <c r="AC21" s="66">
        <f t="shared" si="47"/>
        <v>2396.9739094129045</v>
      </c>
      <c r="AD21" s="66">
        <f t="shared" si="47"/>
        <v>2396.1605690905981</v>
      </c>
      <c r="AE21" s="66">
        <f t="shared" si="47"/>
        <v>2395.6483632127038</v>
      </c>
      <c r="AF21" s="66">
        <f t="shared" si="47"/>
        <v>2395.3680797275415</v>
      </c>
      <c r="AG21" s="66">
        <f t="shared" si="47"/>
        <v>2395.2678246191058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</row>
    <row r="22" spans="1:62" x14ac:dyDescent="0.2">
      <c r="A22" s="17" t="s">
        <v>44</v>
      </c>
      <c r="B22" s="17"/>
      <c r="C22" s="18">
        <v>500</v>
      </c>
      <c r="D22" s="6"/>
      <c r="E22" s="17" t="s">
        <v>44</v>
      </c>
      <c r="F22" s="41">
        <v>750</v>
      </c>
      <c r="H22" s="17" t="s">
        <v>44</v>
      </c>
      <c r="I22" s="66">
        <v>500</v>
      </c>
      <c r="J22" s="66">
        <v>500</v>
      </c>
      <c r="K22" s="66">
        <v>500</v>
      </c>
      <c r="L22" s="66">
        <v>501</v>
      </c>
      <c r="M22" s="66">
        <v>502</v>
      </c>
      <c r="N22" s="66">
        <v>503</v>
      </c>
      <c r="O22" s="66">
        <v>504</v>
      </c>
      <c r="P22" s="66">
        <v>505</v>
      </c>
      <c r="Q22" s="66">
        <v>506</v>
      </c>
      <c r="R22" s="66">
        <v>507</v>
      </c>
      <c r="S22" s="66">
        <v>508</v>
      </c>
      <c r="T22" s="66">
        <v>509</v>
      </c>
      <c r="U22" s="66">
        <v>510</v>
      </c>
      <c r="V22" s="66">
        <v>511</v>
      </c>
      <c r="W22" s="66">
        <v>512</v>
      </c>
      <c r="X22" s="66">
        <v>513</v>
      </c>
      <c r="Y22" s="66">
        <v>514</v>
      </c>
      <c r="Z22" s="66">
        <v>515</v>
      </c>
      <c r="AA22" s="66">
        <v>516</v>
      </c>
      <c r="AB22" s="66">
        <v>517</v>
      </c>
      <c r="AC22" s="66">
        <v>518</v>
      </c>
      <c r="AD22" s="66">
        <v>519</v>
      </c>
      <c r="AE22" s="66">
        <v>520</v>
      </c>
      <c r="AF22" s="66">
        <v>521</v>
      </c>
      <c r="AG22" s="66">
        <v>522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</row>
    <row r="23" spans="1:62" x14ac:dyDescent="0.2">
      <c r="A23" s="17" t="s">
        <v>45</v>
      </c>
      <c r="B23" s="17"/>
      <c r="C23" s="18">
        <v>7500</v>
      </c>
      <c r="D23" s="6"/>
      <c r="E23" s="17" t="s">
        <v>45</v>
      </c>
      <c r="F23" s="41">
        <v>6500</v>
      </c>
      <c r="H23" s="17" t="s">
        <v>45</v>
      </c>
      <c r="I23" s="66">
        <f>5000</f>
        <v>5000</v>
      </c>
      <c r="J23" s="66">
        <f>5000</f>
        <v>5000</v>
      </c>
      <c r="K23" s="66">
        <f>5000</f>
        <v>5000</v>
      </c>
      <c r="L23" s="66">
        <f>5000</f>
        <v>5000</v>
      </c>
      <c r="M23" s="66">
        <f>5000</f>
        <v>5000</v>
      </c>
      <c r="N23" s="66">
        <f>5000</f>
        <v>5000</v>
      </c>
      <c r="O23" s="66">
        <f>5000</f>
        <v>5000</v>
      </c>
      <c r="P23" s="66">
        <f>5000</f>
        <v>5000</v>
      </c>
      <c r="Q23" s="66">
        <f>5000</f>
        <v>5000</v>
      </c>
      <c r="R23" s="66">
        <f>5000</f>
        <v>5000</v>
      </c>
      <c r="S23" s="66">
        <f>5000</f>
        <v>5000</v>
      </c>
      <c r="T23" s="66">
        <f>5000</f>
        <v>5000</v>
      </c>
      <c r="U23" s="66">
        <f>5000</f>
        <v>5000</v>
      </c>
      <c r="V23" s="66">
        <f>5000</f>
        <v>5000</v>
      </c>
      <c r="W23" s="66">
        <f>5000</f>
        <v>5000</v>
      </c>
      <c r="X23" s="66">
        <f>5000</f>
        <v>5000</v>
      </c>
      <c r="Y23" s="66">
        <f>5000</f>
        <v>5000</v>
      </c>
      <c r="Z23" s="66">
        <f>5000</f>
        <v>5000</v>
      </c>
      <c r="AA23" s="66">
        <f>5000</f>
        <v>5000</v>
      </c>
      <c r="AB23" s="66">
        <f>5000</f>
        <v>5000</v>
      </c>
      <c r="AC23" s="66">
        <f>5000</f>
        <v>5000</v>
      </c>
      <c r="AD23" s="66">
        <f>5000</f>
        <v>5000</v>
      </c>
      <c r="AE23" s="66">
        <f>5000</f>
        <v>5000</v>
      </c>
      <c r="AF23" s="66">
        <f>5000</f>
        <v>5000</v>
      </c>
      <c r="AG23" s="66">
        <f>5000</f>
        <v>5000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</row>
    <row r="24" spans="1:62" x14ac:dyDescent="0.2">
      <c r="A24" s="17" t="s">
        <v>46</v>
      </c>
      <c r="B24" s="17"/>
      <c r="C24" s="5">
        <f>(C23*C19)+(C18*C22)</f>
        <v>8500</v>
      </c>
      <c r="E24" s="17" t="s">
        <v>46</v>
      </c>
      <c r="F24" s="41">
        <f>(F23*F19)+(F18*F22)</f>
        <v>41000</v>
      </c>
      <c r="H24" s="17" t="s">
        <v>46</v>
      </c>
      <c r="I24" s="5">
        <f>(I23*I19)+(I18*I22)</f>
        <v>6000</v>
      </c>
      <c r="J24" s="5">
        <f>(J23*J19)+(J18*J22)</f>
        <v>11000</v>
      </c>
      <c r="K24" s="5">
        <f>K22*K18+(K23*K19)</f>
        <v>21500</v>
      </c>
      <c r="L24" s="5">
        <f t="shared" ref="L24:AG24" si="48">L22*L18+(L23*L19)</f>
        <v>13653.3</v>
      </c>
      <c r="M24" s="5">
        <f t="shared" si="48"/>
        <v>15705.089999999998</v>
      </c>
      <c r="N24" s="5">
        <f t="shared" si="48"/>
        <v>18065.217749999996</v>
      </c>
      <c r="O24" s="5">
        <f t="shared" si="48"/>
        <v>21683.498399999997</v>
      </c>
      <c r="P24" s="5">
        <f t="shared" si="48"/>
        <v>26026.482599999992</v>
      </c>
      <c r="Q24" s="5">
        <f t="shared" si="48"/>
        <v>31239.320543999987</v>
      </c>
      <c r="R24" s="5">
        <f t="shared" si="48"/>
        <v>40620.920558399986</v>
      </c>
      <c r="S24" s="5">
        <f t="shared" si="48"/>
        <v>52819.941732479987</v>
      </c>
      <c r="T24" s="5">
        <f t="shared" si="48"/>
        <v>73317.040600751978</v>
      </c>
      <c r="U24" s="5">
        <f t="shared" si="48"/>
        <v>84333.650475671981</v>
      </c>
      <c r="V24" s="5">
        <f t="shared" si="48"/>
        <v>97005.60989955104</v>
      </c>
      <c r="W24" s="5">
        <f t="shared" si="48"/>
        <v>112142.59343961519</v>
      </c>
      <c r="X24" s="5">
        <f t="shared" si="48"/>
        <v>129668.66763286693</v>
      </c>
      <c r="Y24" s="5">
        <f t="shared" si="48"/>
        <v>149155.25380558378</v>
      </c>
      <c r="Z24" s="5">
        <f t="shared" si="48"/>
        <v>171570.2708083762</v>
      </c>
      <c r="AA24" s="5">
        <f t="shared" si="48"/>
        <v>197353.79970138069</v>
      </c>
      <c r="AB24" s="5">
        <f t="shared" si="48"/>
        <v>227012.05616909807</v>
      </c>
      <c r="AC24" s="5">
        <f t="shared" si="48"/>
        <v>261127.32908384962</v>
      </c>
      <c r="AD24" s="5">
        <f t="shared" si="48"/>
        <v>300369.41260922188</v>
      </c>
      <c r="AE24" s="5">
        <f t="shared" si="48"/>
        <v>345508.7562878193</v>
      </c>
      <c r="AF24" s="5">
        <f t="shared" si="48"/>
        <v>397431.59128628828</v>
      </c>
      <c r="AG24" s="5">
        <f t="shared" si="48"/>
        <v>457157.32976782211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</row>
    <row r="25" spans="1:62" x14ac:dyDescent="0.2">
      <c r="F25" s="5">
        <f t="shared" ref="F25" si="49">F23*F19+(F24*F20)</f>
        <v>1010000</v>
      </c>
    </row>
    <row r="26" spans="1:62" ht="16" x14ac:dyDescent="0.2">
      <c r="A26" s="16" t="s">
        <v>47</v>
      </c>
      <c r="B26" s="16"/>
      <c r="C26" s="5">
        <f t="shared" ref="C26" si="50">SUM(C24:C25)</f>
        <v>8500</v>
      </c>
      <c r="E26" s="16" t="s">
        <v>47</v>
      </c>
      <c r="H26" s="16" t="s">
        <v>47</v>
      </c>
      <c r="I26" s="5">
        <f t="shared" ref="I26:J26" si="51">SUM(I24:I25)</f>
        <v>6000</v>
      </c>
      <c r="J26" s="5">
        <f t="shared" si="51"/>
        <v>11000</v>
      </c>
      <c r="K26" s="5">
        <f t="shared" ref="K26:L26" si="52">SUM(K24:K25)</f>
        <v>21500</v>
      </c>
      <c r="L26" s="5">
        <f t="shared" si="52"/>
        <v>13653.3</v>
      </c>
      <c r="M26" s="5">
        <f t="shared" ref="M26:T26" si="53">SUM(M24:M25)</f>
        <v>15705.089999999998</v>
      </c>
      <c r="N26" s="5">
        <f t="shared" si="53"/>
        <v>18065.217749999996</v>
      </c>
      <c r="O26" s="5">
        <f t="shared" si="53"/>
        <v>21683.498399999997</v>
      </c>
      <c r="P26" s="5">
        <f t="shared" si="53"/>
        <v>26026.482599999992</v>
      </c>
      <c r="Q26" s="5">
        <f t="shared" si="53"/>
        <v>31239.320543999987</v>
      </c>
      <c r="R26" s="5">
        <f t="shared" si="53"/>
        <v>40620.920558399986</v>
      </c>
      <c r="S26" s="5">
        <f t="shared" si="53"/>
        <v>52819.941732479987</v>
      </c>
      <c r="T26" s="5">
        <f t="shared" si="53"/>
        <v>73317.040600751978</v>
      </c>
      <c r="U26" s="5">
        <f t="shared" ref="U26:AG26" si="54">SUM(U24:U25)</f>
        <v>84333.650475671981</v>
      </c>
      <c r="V26" s="5">
        <f t="shared" si="54"/>
        <v>97005.60989955104</v>
      </c>
      <c r="W26" s="5">
        <f t="shared" si="54"/>
        <v>112142.59343961519</v>
      </c>
      <c r="X26" s="5">
        <f t="shared" si="54"/>
        <v>129668.66763286693</v>
      </c>
      <c r="Y26" s="5">
        <f t="shared" si="54"/>
        <v>149155.25380558378</v>
      </c>
      <c r="Z26" s="5">
        <f t="shared" si="54"/>
        <v>171570.2708083762</v>
      </c>
      <c r="AA26" s="5">
        <f t="shared" si="54"/>
        <v>197353.79970138069</v>
      </c>
      <c r="AB26" s="5">
        <f t="shared" si="54"/>
        <v>227012.05616909807</v>
      </c>
      <c r="AC26" s="5">
        <f t="shared" si="54"/>
        <v>261127.32908384962</v>
      </c>
      <c r="AD26" s="5">
        <f t="shared" si="54"/>
        <v>300369.41260922188</v>
      </c>
      <c r="AE26" s="5">
        <f t="shared" si="54"/>
        <v>345508.7562878193</v>
      </c>
      <c r="AF26" s="5">
        <f t="shared" si="54"/>
        <v>397431.59128628828</v>
      </c>
      <c r="AG26" s="5">
        <f t="shared" si="54"/>
        <v>457157.32976782211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</row>
    <row r="27" spans="1:62" x14ac:dyDescent="0.2">
      <c r="A27" s="17" t="s">
        <v>48</v>
      </c>
      <c r="B27" s="17"/>
      <c r="C27" s="5">
        <f>C26+(C17*C21)</f>
        <v>16300</v>
      </c>
      <c r="E27" s="17" t="s">
        <v>48</v>
      </c>
      <c r="F27" s="5">
        <f t="shared" ref="F27" si="55">SUM(F25:F26)</f>
        <v>1010000</v>
      </c>
      <c r="H27" s="17" t="s">
        <v>48</v>
      </c>
      <c r="I27" s="5">
        <f>I26+I17*I21</f>
        <v>13800</v>
      </c>
      <c r="J27" s="5">
        <f>J26+(J17*J21)</f>
        <v>23765</v>
      </c>
      <c r="K27" s="5">
        <f t="shared" ref="K27:T27" si="56">K26+(K17*K21)</f>
        <v>43386.241525423728</v>
      </c>
      <c r="L27" s="5">
        <f t="shared" si="56"/>
        <v>53119.271301686604</v>
      </c>
      <c r="M27" s="5">
        <f t="shared" si="56"/>
        <v>64621.846951044106</v>
      </c>
      <c r="N27" s="5">
        <f t="shared" si="56"/>
        <v>77564.821824021506</v>
      </c>
      <c r="O27" s="5">
        <f t="shared" si="56"/>
        <v>93090.439162160154</v>
      </c>
      <c r="P27" s="5">
        <f t="shared" si="56"/>
        <v>111621.66254045507</v>
      </c>
      <c r="Q27" s="5">
        <f t="shared" si="56"/>
        <v>133767.1452258827</v>
      </c>
      <c r="R27" s="5">
        <f t="shared" si="56"/>
        <v>163383.16561432742</v>
      </c>
      <c r="S27" s="5">
        <f t="shared" si="56"/>
        <v>202309.95264291283</v>
      </c>
      <c r="T27" s="5">
        <f t="shared" si="56"/>
        <v>257950.25425908354</v>
      </c>
      <c r="U27" s="5">
        <f t="shared" ref="U27:AG27" si="57">U26+(U17*U21)</f>
        <v>319010.58808566624</v>
      </c>
      <c r="V27" s="5">
        <f t="shared" si="57"/>
        <v>387951.76031181519</v>
      </c>
      <c r="W27" s="5">
        <f t="shared" si="57"/>
        <v>466615.78603798815</v>
      </c>
      <c r="X27" s="5">
        <f t="shared" si="57"/>
        <v>556310.20783676591</v>
      </c>
      <c r="Y27" s="5">
        <f t="shared" si="57"/>
        <v>658073.32664091967</v>
      </c>
      <c r="Z27" s="5">
        <f t="shared" si="57"/>
        <v>774258.65892756754</v>
      </c>
      <c r="AA27" s="5">
        <f t="shared" si="57"/>
        <v>907072.28654460551</v>
      </c>
      <c r="AB27" s="5">
        <f t="shared" si="57"/>
        <v>1059050.8364316346</v>
      </c>
      <c r="AC27" s="5">
        <f t="shared" si="57"/>
        <v>1233110.9424065221</v>
      </c>
      <c r="AD27" s="5">
        <f t="shared" si="57"/>
        <v>1432606.2365634816</v>
      </c>
      <c r="AE27" s="5">
        <f t="shared" si="57"/>
        <v>1661392.9649063165</v>
      </c>
      <c r="AF27" s="5">
        <f t="shared" si="57"/>
        <v>1923905.5013437597</v>
      </c>
      <c r="AG27" s="5">
        <f t="shared" si="57"/>
        <v>2225243.2340555466</v>
      </c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</row>
    <row r="28" spans="1:62" ht="16" thickBot="1" x14ac:dyDescent="0.25">
      <c r="A28" s="29"/>
      <c r="B28" s="29"/>
      <c r="C28" s="30"/>
      <c r="E28" s="29"/>
      <c r="F28" s="29"/>
      <c r="H28" s="29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</row>
    <row r="29" spans="1:62" ht="18" thickTop="1" thickBot="1" x14ac:dyDescent="0.25">
      <c r="A29" s="16" t="s">
        <v>49</v>
      </c>
      <c r="B29" s="17"/>
      <c r="C29" s="31">
        <f>C27+C37</f>
        <v>6415.67</v>
      </c>
      <c r="E29" s="16" t="s">
        <v>50</v>
      </c>
      <c r="F29" s="30"/>
      <c r="H29" s="16" t="s">
        <v>49</v>
      </c>
      <c r="I29" s="31">
        <f t="shared" ref="I29:AG29" si="58">I27+I37</f>
        <v>44.080000000001746</v>
      </c>
      <c r="J29" s="31">
        <f t="shared" si="58"/>
        <v>9771.4552500000009</v>
      </c>
      <c r="K29" s="31">
        <f t="shared" si="58"/>
        <v>27023.666406673728</v>
      </c>
      <c r="L29" s="31">
        <f t="shared" si="58"/>
        <v>35869.402179967859</v>
      </c>
      <c r="M29" s="31">
        <f t="shared" si="58"/>
        <v>46063.976788782391</v>
      </c>
      <c r="N29" s="31">
        <f t="shared" si="58"/>
        <v>57534.737448328247</v>
      </c>
      <c r="O29" s="31">
        <f t="shared" si="58"/>
        <v>70936.292067480812</v>
      </c>
      <c r="P29" s="31">
        <f t="shared" si="58"/>
        <v>86965.689036896249</v>
      </c>
      <c r="Q29" s="31">
        <f t="shared" si="58"/>
        <v>106157.20510691992</v>
      </c>
      <c r="R29" s="31">
        <f t="shared" si="58"/>
        <v>130674.99298279655</v>
      </c>
      <c r="S29" s="31">
        <f t="shared" si="58"/>
        <v>163053.69648312149</v>
      </c>
      <c r="T29" s="31">
        <f t="shared" si="58"/>
        <v>210263.09871908356</v>
      </c>
      <c r="U29" s="31">
        <f t="shared" si="58"/>
        <v>265729.28053485812</v>
      </c>
      <c r="V29" s="31">
        <f t="shared" si="58"/>
        <v>328276.15098158241</v>
      </c>
      <c r="W29" s="31">
        <f t="shared" si="58"/>
        <v>397298.03323854593</v>
      </c>
      <c r="X29" s="31">
        <f t="shared" si="58"/>
        <v>475479.20733419334</v>
      </c>
      <c r="Y29" s="31">
        <f t="shared" si="58"/>
        <v>566838.43351165904</v>
      </c>
      <c r="Z29" s="31">
        <f t="shared" si="58"/>
        <v>671102.30821383314</v>
      </c>
      <c r="AA29" s="31">
        <f t="shared" si="58"/>
        <v>790250.3540183492</v>
      </c>
      <c r="AB29" s="31">
        <f t="shared" si="58"/>
        <v>926558.68159084138</v>
      </c>
      <c r="AC29" s="31">
        <f t="shared" si="58"/>
        <v>1082644.3585931216</v>
      </c>
      <c r="AD29" s="31">
        <f t="shared" si="58"/>
        <v>1261516.5442879207</v>
      </c>
      <c r="AE29" s="31">
        <f t="shared" si="58"/>
        <v>1466635.3698770171</v>
      </c>
      <c r="AF29" s="31">
        <f t="shared" si="58"/>
        <v>1701979.7069248511</v>
      </c>
      <c r="AG29" s="31">
        <f t="shared" si="58"/>
        <v>1972125.1463352069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</row>
    <row r="30" spans="1:62" ht="16" thickTop="1" x14ac:dyDescent="0.2">
      <c r="A30" s="17"/>
      <c r="B30" s="17"/>
      <c r="C30" s="19"/>
      <c r="D30" s="37"/>
      <c r="E30" s="17"/>
      <c r="F30" s="19"/>
      <c r="H30" s="17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</row>
    <row r="31" spans="1:62" ht="19" x14ac:dyDescent="0.25">
      <c r="A31" s="20" t="s">
        <v>218</v>
      </c>
      <c r="B31" s="20"/>
      <c r="C31" s="21"/>
      <c r="D31" s="6"/>
      <c r="E31" s="20" t="s">
        <v>218</v>
      </c>
      <c r="F31" s="21"/>
      <c r="H31" s="20" t="s">
        <v>218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</row>
    <row r="32" spans="1:62" x14ac:dyDescent="0.2">
      <c r="A32" s="17" t="s">
        <v>116</v>
      </c>
      <c r="C32" s="5">
        <v>-3162.95</v>
      </c>
      <c r="D32" s="6"/>
      <c r="E32" s="17" t="s">
        <v>116</v>
      </c>
      <c r="F32" s="18"/>
      <c r="H32" s="17" t="s">
        <v>116</v>
      </c>
      <c r="I32" s="5">
        <f>-3162.95*I65</f>
        <v>-6325.9</v>
      </c>
      <c r="J32" s="5">
        <f t="shared" ref="J32:AG32" si="59">I32*J65</f>
        <v>-6484.0474999999988</v>
      </c>
      <c r="K32" s="5">
        <f t="shared" si="59"/>
        <v>-6646.1486874999982</v>
      </c>
      <c r="L32" s="5">
        <f t="shared" si="59"/>
        <v>-6812.302404687498</v>
      </c>
      <c r="M32" s="5">
        <f t="shared" si="59"/>
        <v>-6982.6099648046848</v>
      </c>
      <c r="N32" s="5">
        <f t="shared" si="59"/>
        <v>-7157.175213924801</v>
      </c>
      <c r="O32" s="5">
        <f t="shared" si="59"/>
        <v>-7336.1045942729206</v>
      </c>
      <c r="P32" s="5">
        <f t="shared" si="59"/>
        <v>-7519.5072091297434</v>
      </c>
      <c r="Q32" s="5">
        <f t="shared" si="59"/>
        <v>-7707.4948893579867</v>
      </c>
      <c r="R32" s="5">
        <f t="shared" si="59"/>
        <v>-7900.1822615919355</v>
      </c>
      <c r="S32" s="5">
        <f t="shared" si="59"/>
        <v>-8097.6868181317332</v>
      </c>
      <c r="T32" s="5">
        <f t="shared" si="59"/>
        <v>-8300.1289885850256</v>
      </c>
      <c r="U32" s="5">
        <f t="shared" si="59"/>
        <v>-8507.6322132996502</v>
      </c>
      <c r="V32" s="5">
        <f t="shared" si="59"/>
        <v>-8720.3230186321398</v>
      </c>
      <c r="W32" s="5">
        <f t="shared" si="59"/>
        <v>-8938.3310940979427</v>
      </c>
      <c r="X32" s="5">
        <f t="shared" si="59"/>
        <v>-9161.7893714503898</v>
      </c>
      <c r="Y32" s="5">
        <f t="shared" si="59"/>
        <v>-9390.8341057366488</v>
      </c>
      <c r="Z32" s="5">
        <f t="shared" si="59"/>
        <v>-9625.604958380065</v>
      </c>
      <c r="AA32" s="5">
        <f t="shared" si="59"/>
        <v>-9866.2450823395666</v>
      </c>
      <c r="AB32" s="5">
        <f t="shared" si="59"/>
        <v>-10112.901209398055</v>
      </c>
      <c r="AC32" s="5">
        <f t="shared" si="59"/>
        <v>-10365.723739633006</v>
      </c>
      <c r="AD32" s="5">
        <f t="shared" si="59"/>
        <v>-10624.86683312383</v>
      </c>
      <c r="AE32" s="5">
        <f t="shared" si="59"/>
        <v>-10890.488503951925</v>
      </c>
      <c r="AF32" s="5">
        <f t="shared" si="59"/>
        <v>-11162.750716550721</v>
      </c>
      <c r="AG32" s="5">
        <f t="shared" si="59"/>
        <v>-11441.819484464488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</row>
    <row r="33" spans="1:633" x14ac:dyDescent="0.2">
      <c r="A33" s="17" t="s">
        <v>115</v>
      </c>
      <c r="C33" s="5">
        <v>-2093.4699999999998</v>
      </c>
      <c r="D33" s="6"/>
      <c r="E33" s="17" t="s">
        <v>115</v>
      </c>
      <c r="F33" s="18"/>
      <c r="H33" s="17" t="s">
        <v>115</v>
      </c>
      <c r="I33" s="5">
        <v>-2093.4699999999998</v>
      </c>
      <c r="J33" s="5">
        <f t="shared" ref="J33:AG33" si="60">I33*J66</f>
        <v>-2145.8067499999997</v>
      </c>
      <c r="K33" s="5">
        <f t="shared" si="60"/>
        <v>-2199.4519187499995</v>
      </c>
      <c r="L33" s="5">
        <f t="shared" si="60"/>
        <v>-2254.4382167187491</v>
      </c>
      <c r="M33" s="5">
        <f t="shared" si="60"/>
        <v>-2310.7991721367175</v>
      </c>
      <c r="N33" s="5">
        <f t="shared" si="60"/>
        <v>-2368.5691514401351</v>
      </c>
      <c r="O33" s="5">
        <f t="shared" si="60"/>
        <v>-2427.7833802261384</v>
      </c>
      <c r="P33" s="5">
        <f t="shared" si="60"/>
        <v>-2488.4779647317919</v>
      </c>
      <c r="Q33" s="5">
        <f t="shared" si="60"/>
        <v>-2550.6899138500867</v>
      </c>
      <c r="R33" s="5">
        <f t="shared" si="60"/>
        <v>-2614.4571616963385</v>
      </c>
      <c r="S33" s="5">
        <f t="shared" si="60"/>
        <v>-2679.8185907387469</v>
      </c>
      <c r="T33" s="5">
        <f t="shared" si="60"/>
        <v>-2746.8140555072155</v>
      </c>
      <c r="U33" s="5">
        <f t="shared" si="60"/>
        <v>-2815.4844068948955</v>
      </c>
      <c r="V33" s="5">
        <f t="shared" si="60"/>
        <v>-2885.8715170672676</v>
      </c>
      <c r="W33" s="5">
        <f t="shared" si="60"/>
        <v>-2958.0183049939492</v>
      </c>
      <c r="X33" s="5">
        <f t="shared" si="60"/>
        <v>-3031.9687626187974</v>
      </c>
      <c r="Y33" s="5">
        <f t="shared" si="60"/>
        <v>-3107.7679816842669</v>
      </c>
      <c r="Z33" s="5">
        <f t="shared" si="60"/>
        <v>-3185.4621812263736</v>
      </c>
      <c r="AA33" s="5">
        <f t="shared" si="60"/>
        <v>-3265.0987357570325</v>
      </c>
      <c r="AB33" s="5">
        <f t="shared" si="60"/>
        <v>-3346.726204150958</v>
      </c>
      <c r="AC33" s="5">
        <f t="shared" si="60"/>
        <v>-3430.3943592547316</v>
      </c>
      <c r="AD33" s="5">
        <f t="shared" si="60"/>
        <v>-3516.1542182360995</v>
      </c>
      <c r="AE33" s="5">
        <f t="shared" si="60"/>
        <v>-3604.0580736920015</v>
      </c>
      <c r="AF33" s="5">
        <f t="shared" si="60"/>
        <v>-3694.1595255343013</v>
      </c>
      <c r="AG33" s="5">
        <f t="shared" si="60"/>
        <v>-3786.5135136726585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</row>
    <row r="34" spans="1:633" x14ac:dyDescent="0.2">
      <c r="A34" s="17" t="s">
        <v>114</v>
      </c>
      <c r="C34" s="5">
        <v>-1085.6199999999999</v>
      </c>
      <c r="D34" s="6"/>
      <c r="E34" s="17" t="s">
        <v>114</v>
      </c>
      <c r="F34" s="18"/>
      <c r="H34" s="17" t="s">
        <v>114</v>
      </c>
      <c r="I34" s="5">
        <v>-1085.6199999999999</v>
      </c>
      <c r="J34" s="5">
        <f t="shared" ref="J34:AG34" si="61">I34*J67</f>
        <v>-1112.7604999999999</v>
      </c>
      <c r="K34" s="5">
        <f t="shared" si="61"/>
        <v>-1140.5795124999997</v>
      </c>
      <c r="L34" s="5">
        <f t="shared" si="61"/>
        <v>-1169.0940003124997</v>
      </c>
      <c r="M34" s="5">
        <f t="shared" si="61"/>
        <v>-1198.3213503203121</v>
      </c>
      <c r="N34" s="5">
        <f t="shared" si="61"/>
        <v>-1228.2793840783199</v>
      </c>
      <c r="O34" s="5">
        <f t="shared" si="61"/>
        <v>-1258.9863686802778</v>
      </c>
      <c r="P34" s="5">
        <f t="shared" si="61"/>
        <v>-1290.4610278972846</v>
      </c>
      <c r="Q34" s="5">
        <f t="shared" si="61"/>
        <v>-1322.7225535947166</v>
      </c>
      <c r="R34" s="5">
        <f t="shared" si="61"/>
        <v>-1355.7906174345844</v>
      </c>
      <c r="S34" s="5">
        <f t="shared" si="61"/>
        <v>-1389.6853828704488</v>
      </c>
      <c r="T34" s="5">
        <f t="shared" si="61"/>
        <v>-1424.42751744221</v>
      </c>
      <c r="U34" s="5">
        <f t="shared" si="61"/>
        <v>-1460.0382053782653</v>
      </c>
      <c r="V34" s="5">
        <f t="shared" si="61"/>
        <v>-1496.5391605127218</v>
      </c>
      <c r="W34" s="5">
        <f t="shared" si="61"/>
        <v>-1533.9526395255398</v>
      </c>
      <c r="X34" s="5">
        <f t="shared" si="61"/>
        <v>-1572.3014555136781</v>
      </c>
      <c r="Y34" s="5">
        <f t="shared" si="61"/>
        <v>-1611.6089919015199</v>
      </c>
      <c r="Z34" s="5">
        <f t="shared" si="61"/>
        <v>-1651.8992166990577</v>
      </c>
      <c r="AA34" s="5">
        <f t="shared" si="61"/>
        <v>-1693.1966971165339</v>
      </c>
      <c r="AB34" s="5">
        <f t="shared" si="61"/>
        <v>-1735.5266145444471</v>
      </c>
      <c r="AC34" s="5">
        <f t="shared" si="61"/>
        <v>-1778.9147799080581</v>
      </c>
      <c r="AD34" s="5">
        <f t="shared" si="61"/>
        <v>-1823.3876494057595</v>
      </c>
      <c r="AE34" s="5">
        <f t="shared" si="61"/>
        <v>-1868.9723406409032</v>
      </c>
      <c r="AF34" s="5">
        <f t="shared" si="61"/>
        <v>-1915.6966491569256</v>
      </c>
      <c r="AG34" s="5">
        <f t="shared" si="61"/>
        <v>-1963.5890653858485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</row>
    <row r="35" spans="1:633" x14ac:dyDescent="0.2">
      <c r="A35" s="17" t="s">
        <v>113</v>
      </c>
      <c r="C35" s="5">
        <v>-708.64</v>
      </c>
      <c r="D35" s="6"/>
      <c r="E35" s="17" t="s">
        <v>113</v>
      </c>
      <c r="F35" s="18"/>
      <c r="H35" s="17" t="s">
        <v>113</v>
      </c>
      <c r="I35" s="5">
        <f>-708.64*I68</f>
        <v>-1417.28</v>
      </c>
      <c r="J35" s="5">
        <f t="shared" ref="J35:AG35" si="62">I35*J68</f>
        <v>-1417.28</v>
      </c>
      <c r="K35" s="5">
        <f t="shared" si="62"/>
        <v>-2125.92</v>
      </c>
      <c r="L35" s="5">
        <f t="shared" si="62"/>
        <v>-2338.5120000000002</v>
      </c>
      <c r="M35" s="5">
        <f t="shared" si="62"/>
        <v>-2689.2887999999998</v>
      </c>
      <c r="N35" s="5">
        <f t="shared" si="62"/>
        <v>-3092.6821199999995</v>
      </c>
      <c r="O35" s="5">
        <f t="shared" si="62"/>
        <v>-3711.2185439999994</v>
      </c>
      <c r="P35" s="5">
        <f t="shared" si="62"/>
        <v>-4453.4622527999991</v>
      </c>
      <c r="Q35" s="5">
        <f t="shared" si="62"/>
        <v>-5344.1547033599991</v>
      </c>
      <c r="R35" s="5">
        <f t="shared" si="62"/>
        <v>-6947.4011143679991</v>
      </c>
      <c r="S35" s="5">
        <f t="shared" si="62"/>
        <v>-9031.6214486783992</v>
      </c>
      <c r="T35" s="5">
        <f t="shared" si="62"/>
        <v>-11741.10788328192</v>
      </c>
      <c r="U35" s="5">
        <f t="shared" si="62"/>
        <v>-13502.274065774207</v>
      </c>
      <c r="V35" s="5">
        <f t="shared" si="62"/>
        <v>-15527.615175640336</v>
      </c>
      <c r="W35" s="5">
        <f t="shared" si="62"/>
        <v>-18633.138210768404</v>
      </c>
      <c r="X35" s="5">
        <f t="shared" si="62"/>
        <v>-22359.765852922083</v>
      </c>
      <c r="Y35" s="5">
        <f t="shared" si="62"/>
        <v>-25713.730730860392</v>
      </c>
      <c r="Z35" s="5">
        <f t="shared" si="62"/>
        <v>-29570.79034048945</v>
      </c>
      <c r="AA35" s="5">
        <f t="shared" si="62"/>
        <v>-34006.408891562867</v>
      </c>
      <c r="AB35" s="5">
        <f t="shared" si="62"/>
        <v>-39107.370225297294</v>
      </c>
      <c r="AC35" s="5">
        <f t="shared" si="62"/>
        <v>-44973.475759091882</v>
      </c>
      <c r="AD35" s="5">
        <f t="shared" si="62"/>
        <v>-51719.497122955661</v>
      </c>
      <c r="AE35" s="5">
        <f t="shared" si="62"/>
        <v>-59477.421691399009</v>
      </c>
      <c r="AF35" s="5">
        <f t="shared" si="62"/>
        <v>-68399.034945108855</v>
      </c>
      <c r="AG35" s="5">
        <f t="shared" si="62"/>
        <v>-78658.890186875171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</row>
    <row r="36" spans="1:633" ht="16" thickBot="1" x14ac:dyDescent="0.25">
      <c r="A36" s="29" t="s">
        <v>111</v>
      </c>
      <c r="B36" s="77"/>
      <c r="C36" s="30">
        <v>-2833.65</v>
      </c>
      <c r="D36" s="6"/>
      <c r="E36" s="29" t="s">
        <v>111</v>
      </c>
      <c r="F36" s="78"/>
      <c r="H36" s="29" t="s">
        <v>111</v>
      </c>
      <c r="I36" s="30">
        <v>-2833.65</v>
      </c>
      <c r="J36" s="30">
        <f t="shared" ref="J36:AG36" si="63">I36*J69</f>
        <v>-2833.65</v>
      </c>
      <c r="K36" s="30">
        <f t="shared" si="63"/>
        <v>-4250.4750000000004</v>
      </c>
      <c r="L36" s="30">
        <f t="shared" si="63"/>
        <v>-4675.5225000000009</v>
      </c>
      <c r="M36" s="30">
        <f t="shared" si="63"/>
        <v>-5376.850875000001</v>
      </c>
      <c r="N36" s="30">
        <f t="shared" si="63"/>
        <v>-6183.378506250001</v>
      </c>
      <c r="O36" s="30">
        <f t="shared" si="63"/>
        <v>-7420.0542075000012</v>
      </c>
      <c r="P36" s="30">
        <f t="shared" si="63"/>
        <v>-8904.0650490000007</v>
      </c>
      <c r="Q36" s="30">
        <f t="shared" si="63"/>
        <v>-10684.878058800001</v>
      </c>
      <c r="R36" s="30">
        <f t="shared" si="63"/>
        <v>-13890.341476440002</v>
      </c>
      <c r="S36" s="30">
        <f t="shared" si="63"/>
        <v>-18057.443919372003</v>
      </c>
      <c r="T36" s="30">
        <f t="shared" si="63"/>
        <v>-23474.677095183604</v>
      </c>
      <c r="U36" s="30">
        <f t="shared" si="63"/>
        <v>-26995.878659461141</v>
      </c>
      <c r="V36" s="30">
        <f t="shared" si="63"/>
        <v>-31045.260458380311</v>
      </c>
      <c r="W36" s="30">
        <f t="shared" si="63"/>
        <v>-37254.312550056369</v>
      </c>
      <c r="X36" s="30">
        <f t="shared" si="63"/>
        <v>-44705.175060067639</v>
      </c>
      <c r="Y36" s="30">
        <f t="shared" si="63"/>
        <v>-51410.95131907778</v>
      </c>
      <c r="Z36" s="30">
        <f t="shared" si="63"/>
        <v>-59122.594016939445</v>
      </c>
      <c r="AA36" s="30">
        <f t="shared" si="63"/>
        <v>-67990.983119480356</v>
      </c>
      <c r="AB36" s="30">
        <f t="shared" si="63"/>
        <v>-78189.630587402396</v>
      </c>
      <c r="AC36" s="30">
        <f t="shared" si="63"/>
        <v>-89918.075175512742</v>
      </c>
      <c r="AD36" s="30">
        <f t="shared" si="63"/>
        <v>-103405.78645183965</v>
      </c>
      <c r="AE36" s="30">
        <f t="shared" si="63"/>
        <v>-118916.65441961559</v>
      </c>
      <c r="AF36" s="30">
        <f t="shared" si="63"/>
        <v>-136754.15258255793</v>
      </c>
      <c r="AG36" s="30">
        <f t="shared" si="63"/>
        <v>-157267.27546994161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</row>
    <row r="37" spans="1:633" ht="16" thickTop="1" x14ac:dyDescent="0.2">
      <c r="A37" s="23" t="s">
        <v>221</v>
      </c>
      <c r="B37" s="47"/>
      <c r="C37" s="48">
        <f>SUM(C32:C36)</f>
        <v>-9884.33</v>
      </c>
      <c r="D37" s="49">
        <v>0</v>
      </c>
      <c r="E37" s="23" t="s">
        <v>221</v>
      </c>
      <c r="F37" s="48">
        <f>C37/$C$20</f>
        <v>-9884.33</v>
      </c>
      <c r="H37" s="23" t="s">
        <v>221</v>
      </c>
      <c r="I37" s="48">
        <f t="shared" ref="I37:AG37" si="64">SUM(I32:I36)</f>
        <v>-13755.919999999998</v>
      </c>
      <c r="J37" s="48">
        <f t="shared" si="64"/>
        <v>-13993.544749999999</v>
      </c>
      <c r="K37" s="48">
        <f t="shared" si="64"/>
        <v>-16362.575118749999</v>
      </c>
      <c r="L37" s="48">
        <f t="shared" si="64"/>
        <v>-17249.869121718748</v>
      </c>
      <c r="M37" s="48">
        <f t="shared" si="64"/>
        <v>-18557.870162261715</v>
      </c>
      <c r="N37" s="48">
        <f t="shared" si="64"/>
        <v>-20030.084375693255</v>
      </c>
      <c r="O37" s="48">
        <f t="shared" si="64"/>
        <v>-22154.147094679338</v>
      </c>
      <c r="P37" s="48">
        <f t="shared" si="64"/>
        <v>-24655.97350355882</v>
      </c>
      <c r="Q37" s="48">
        <f t="shared" si="64"/>
        <v>-27609.94011896279</v>
      </c>
      <c r="R37" s="48">
        <f t="shared" si="64"/>
        <v>-32708.172631530862</v>
      </c>
      <c r="S37" s="48">
        <f t="shared" si="64"/>
        <v>-39256.25615979133</v>
      </c>
      <c r="T37" s="48">
        <f t="shared" si="64"/>
        <v>-47687.155539999978</v>
      </c>
      <c r="U37" s="48">
        <f t="shared" si="64"/>
        <v>-53281.307550808153</v>
      </c>
      <c r="V37" s="48">
        <f t="shared" si="64"/>
        <v>-59675.609330232779</v>
      </c>
      <c r="W37" s="48">
        <f t="shared" si="64"/>
        <v>-69317.752799442213</v>
      </c>
      <c r="X37" s="48">
        <f t="shared" si="64"/>
        <v>-80831.000502572584</v>
      </c>
      <c r="Y37" s="48">
        <f t="shared" si="64"/>
        <v>-91234.893129260599</v>
      </c>
      <c r="Z37" s="48">
        <f t="shared" si="64"/>
        <v>-103156.3507137344</v>
      </c>
      <c r="AA37" s="48">
        <f t="shared" si="64"/>
        <v>-116821.93252625635</v>
      </c>
      <c r="AB37" s="48">
        <f t="shared" si="64"/>
        <v>-132492.15484079317</v>
      </c>
      <c r="AC37" s="48">
        <f t="shared" si="64"/>
        <v>-150466.58381340042</v>
      </c>
      <c r="AD37" s="48">
        <f t="shared" si="64"/>
        <v>-171089.69227556098</v>
      </c>
      <c r="AE37" s="48">
        <f t="shared" si="64"/>
        <v>-194757.59502929944</v>
      </c>
      <c r="AF37" s="48">
        <f t="shared" si="64"/>
        <v>-221925.79441890874</v>
      </c>
      <c r="AG37" s="48">
        <f t="shared" si="64"/>
        <v>-253118.08772033977</v>
      </c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8"/>
      <c r="FB37" s="48"/>
      <c r="FC37" s="48"/>
      <c r="FD37" s="48"/>
      <c r="FE37" s="48"/>
      <c r="FF37" s="48"/>
      <c r="FG37" s="48"/>
      <c r="FH37" s="48"/>
      <c r="FI37" s="48"/>
      <c r="FJ37" s="48"/>
      <c r="FK37" s="48"/>
      <c r="FL37" s="48"/>
      <c r="FM37" s="48"/>
      <c r="FN37" s="48"/>
      <c r="FO37" s="48"/>
      <c r="FP37" s="48"/>
      <c r="FQ37" s="48"/>
      <c r="FR37" s="48"/>
      <c r="FS37" s="48"/>
      <c r="FT37" s="48"/>
      <c r="FU37" s="48"/>
      <c r="FV37" s="48"/>
      <c r="FW37" s="48"/>
      <c r="FX37" s="48"/>
      <c r="FY37" s="48"/>
      <c r="FZ37" s="48"/>
      <c r="GA37" s="48"/>
      <c r="GB37" s="48"/>
      <c r="GC37" s="48"/>
      <c r="GD37" s="48"/>
      <c r="GE37" s="48"/>
      <c r="GF37" s="48"/>
      <c r="GG37" s="48"/>
      <c r="GH37" s="48"/>
      <c r="GI37" s="48"/>
      <c r="GJ37" s="48"/>
      <c r="GK37" s="48"/>
      <c r="GL37" s="48"/>
      <c r="GM37" s="48"/>
      <c r="GN37" s="48"/>
      <c r="GO37" s="48"/>
      <c r="GP37" s="48"/>
      <c r="GQ37" s="48"/>
      <c r="GR37" s="48"/>
      <c r="GS37" s="48"/>
      <c r="GT37" s="48"/>
      <c r="GU37" s="48"/>
      <c r="GV37" s="48"/>
      <c r="GW37" s="48"/>
      <c r="GX37" s="48"/>
      <c r="GY37" s="48"/>
      <c r="GZ37" s="48"/>
      <c r="HA37" s="48"/>
      <c r="HB37" s="48"/>
      <c r="HC37" s="48"/>
      <c r="HD37" s="48"/>
      <c r="HE37" s="48"/>
      <c r="HF37" s="48"/>
      <c r="HG37" s="48"/>
      <c r="HH37" s="48"/>
      <c r="HI37" s="48"/>
      <c r="HJ37" s="48"/>
      <c r="HK37" s="48"/>
      <c r="HL37" s="48"/>
      <c r="HM37" s="48"/>
      <c r="HN37" s="48"/>
      <c r="HO37" s="48"/>
      <c r="HP37" s="48"/>
      <c r="HQ37" s="48"/>
      <c r="HR37" s="48"/>
      <c r="HS37" s="48"/>
      <c r="HT37" s="48"/>
      <c r="HU37" s="48"/>
      <c r="HV37" s="48"/>
      <c r="HW37" s="48"/>
      <c r="HX37" s="48"/>
      <c r="HY37" s="48"/>
      <c r="HZ37" s="48"/>
      <c r="IA37" s="48"/>
      <c r="IB37" s="48"/>
      <c r="IC37" s="48"/>
      <c r="ID37" s="48"/>
      <c r="IE37" s="48"/>
      <c r="IF37" s="48"/>
      <c r="IG37" s="48"/>
      <c r="IH37" s="48"/>
      <c r="II37" s="48"/>
      <c r="IJ37" s="48"/>
      <c r="IK37" s="48"/>
      <c r="IL37" s="48"/>
      <c r="IM37" s="48"/>
      <c r="IN37" s="48"/>
      <c r="IO37" s="48"/>
      <c r="IP37" s="48"/>
      <c r="IQ37" s="48"/>
      <c r="IR37" s="48"/>
      <c r="IS37" s="48"/>
      <c r="IT37" s="48"/>
      <c r="IU37" s="48"/>
      <c r="IV37" s="48"/>
      <c r="IW37" s="48"/>
      <c r="IX37" s="48"/>
      <c r="IY37" s="48"/>
      <c r="IZ37" s="48"/>
      <c r="JA37" s="48"/>
      <c r="JB37" s="48"/>
      <c r="JC37" s="48"/>
      <c r="JD37" s="48"/>
      <c r="JE37" s="48"/>
      <c r="JF37" s="48"/>
      <c r="JG37" s="48"/>
      <c r="JH37" s="48"/>
      <c r="JI37" s="48"/>
      <c r="JJ37" s="48"/>
      <c r="JK37" s="48"/>
      <c r="JL37" s="48"/>
      <c r="JM37" s="48"/>
      <c r="JN37" s="48"/>
      <c r="JO37" s="48"/>
      <c r="JP37" s="48"/>
      <c r="JQ37" s="48"/>
      <c r="JR37" s="48"/>
      <c r="JS37" s="48"/>
      <c r="JT37" s="48"/>
      <c r="JU37" s="48"/>
      <c r="JV37" s="48"/>
      <c r="JW37" s="48"/>
      <c r="JX37" s="48"/>
      <c r="JY37" s="48"/>
      <c r="JZ37" s="48"/>
      <c r="KA37" s="48"/>
      <c r="KB37" s="48"/>
      <c r="KC37" s="48"/>
      <c r="KD37" s="48"/>
      <c r="KE37" s="48"/>
      <c r="KF37" s="48"/>
      <c r="KG37" s="48"/>
      <c r="KH37" s="48"/>
      <c r="KI37" s="48"/>
      <c r="KJ37" s="48"/>
      <c r="KK37" s="48"/>
      <c r="KL37" s="48"/>
      <c r="KM37" s="48"/>
      <c r="KN37" s="48"/>
      <c r="KO37" s="48"/>
      <c r="KP37" s="48"/>
      <c r="KQ37" s="48"/>
      <c r="KR37" s="48"/>
      <c r="KS37" s="48"/>
      <c r="KT37" s="48"/>
      <c r="KU37" s="48"/>
      <c r="KV37" s="48"/>
      <c r="KW37" s="48"/>
      <c r="KX37" s="48"/>
      <c r="KY37" s="48"/>
      <c r="KZ37" s="48"/>
      <c r="LA37" s="48"/>
      <c r="LB37" s="48"/>
      <c r="LC37" s="48"/>
      <c r="LD37" s="48"/>
      <c r="LE37" s="48"/>
      <c r="LF37" s="48"/>
      <c r="LG37" s="48"/>
      <c r="LH37" s="48"/>
      <c r="LI37" s="48"/>
      <c r="LJ37" s="48"/>
      <c r="LK37" s="48"/>
      <c r="LL37" s="48"/>
      <c r="LM37" s="48"/>
      <c r="LN37" s="48"/>
      <c r="LO37" s="48"/>
      <c r="LP37" s="48"/>
      <c r="LQ37" s="48"/>
      <c r="LR37" s="48"/>
      <c r="LS37" s="48"/>
      <c r="LT37" s="48"/>
      <c r="LU37" s="48"/>
      <c r="LV37" s="48"/>
      <c r="LW37" s="48"/>
      <c r="LX37" s="48"/>
      <c r="LY37" s="48"/>
      <c r="LZ37" s="48"/>
      <c r="MA37" s="48"/>
      <c r="MB37" s="48"/>
      <c r="MC37" s="48"/>
      <c r="MD37" s="48"/>
      <c r="ME37" s="48"/>
      <c r="MF37" s="48"/>
      <c r="MG37" s="48"/>
      <c r="MH37" s="48"/>
      <c r="MI37" s="48"/>
      <c r="MJ37" s="48"/>
      <c r="MK37" s="48"/>
      <c r="ML37" s="48"/>
      <c r="MM37" s="48"/>
      <c r="MN37" s="48"/>
      <c r="MO37" s="48"/>
      <c r="MP37" s="48"/>
      <c r="MQ37" s="48"/>
      <c r="MR37" s="48"/>
      <c r="MS37" s="48"/>
      <c r="MT37" s="48"/>
      <c r="MU37" s="48"/>
      <c r="MV37" s="48"/>
      <c r="MW37" s="48"/>
      <c r="MX37" s="48"/>
      <c r="MY37" s="48"/>
      <c r="MZ37" s="48"/>
      <c r="NA37" s="48"/>
      <c r="NB37" s="48"/>
      <c r="NC37" s="48"/>
      <c r="ND37" s="48"/>
      <c r="NE37" s="48"/>
      <c r="NF37" s="48"/>
      <c r="NG37" s="48"/>
      <c r="NH37" s="48"/>
      <c r="NI37" s="48"/>
      <c r="NJ37" s="48"/>
      <c r="NK37" s="48"/>
      <c r="NL37" s="48"/>
      <c r="NM37" s="48"/>
      <c r="NN37" s="48"/>
      <c r="NO37" s="48"/>
      <c r="NP37" s="48"/>
      <c r="NQ37" s="48"/>
      <c r="NR37" s="48"/>
      <c r="NS37" s="48"/>
      <c r="NT37" s="48"/>
      <c r="NU37" s="48"/>
      <c r="NV37" s="48"/>
      <c r="NW37" s="48"/>
      <c r="NX37" s="48"/>
      <c r="NY37" s="48"/>
      <c r="NZ37" s="48"/>
      <c r="OA37" s="48"/>
      <c r="OB37" s="48"/>
      <c r="OC37" s="48"/>
      <c r="OD37" s="48"/>
      <c r="OE37" s="48"/>
      <c r="OF37" s="48"/>
      <c r="OG37" s="48"/>
      <c r="OH37" s="48"/>
      <c r="OI37" s="48"/>
      <c r="OJ37" s="48"/>
      <c r="OK37" s="48"/>
      <c r="OL37" s="48"/>
      <c r="OM37" s="48"/>
      <c r="ON37" s="48"/>
      <c r="OO37" s="48"/>
      <c r="OP37" s="48"/>
      <c r="OQ37" s="48"/>
      <c r="OR37" s="48"/>
      <c r="OS37" s="48"/>
      <c r="OT37" s="48"/>
      <c r="OU37" s="48"/>
      <c r="OV37" s="48"/>
      <c r="OW37" s="48"/>
      <c r="OX37" s="48"/>
      <c r="OY37" s="48"/>
      <c r="OZ37" s="48"/>
      <c r="PA37" s="48"/>
      <c r="PB37" s="48"/>
      <c r="PC37" s="48"/>
      <c r="PD37" s="48"/>
      <c r="PE37" s="48"/>
      <c r="PF37" s="48"/>
      <c r="PG37" s="48"/>
      <c r="PH37" s="48"/>
      <c r="PI37" s="48"/>
      <c r="PJ37" s="48"/>
      <c r="PK37" s="48"/>
      <c r="PL37" s="48"/>
      <c r="PM37" s="48"/>
      <c r="PN37" s="48"/>
      <c r="PO37" s="48"/>
      <c r="PP37" s="48"/>
      <c r="PQ37" s="48"/>
      <c r="PR37" s="48"/>
      <c r="PS37" s="48"/>
      <c r="PT37" s="48"/>
      <c r="PU37" s="48"/>
      <c r="PV37" s="48"/>
      <c r="PW37" s="48"/>
      <c r="PX37" s="48"/>
      <c r="PY37" s="48"/>
      <c r="PZ37" s="48"/>
      <c r="QA37" s="48"/>
      <c r="QB37" s="48"/>
      <c r="QC37" s="48"/>
      <c r="QD37" s="48"/>
      <c r="QE37" s="48"/>
      <c r="QF37" s="48"/>
      <c r="QG37" s="48"/>
      <c r="QH37" s="48"/>
      <c r="QI37" s="48"/>
      <c r="QJ37" s="48"/>
      <c r="QK37" s="48"/>
      <c r="QL37" s="48"/>
      <c r="QM37" s="48"/>
      <c r="QN37" s="48"/>
      <c r="QO37" s="48"/>
      <c r="QP37" s="48"/>
      <c r="QQ37" s="48"/>
      <c r="QR37" s="48"/>
      <c r="QS37" s="48"/>
      <c r="QT37" s="48"/>
      <c r="QU37" s="48"/>
      <c r="QV37" s="48"/>
      <c r="QW37" s="48"/>
      <c r="QX37" s="48"/>
      <c r="QY37" s="48"/>
      <c r="QZ37" s="48"/>
      <c r="RA37" s="48"/>
      <c r="RB37" s="48"/>
      <c r="RC37" s="48"/>
      <c r="RD37" s="48"/>
      <c r="RE37" s="48"/>
      <c r="RF37" s="48"/>
      <c r="RG37" s="48"/>
      <c r="RH37" s="48"/>
      <c r="RI37" s="48"/>
      <c r="RJ37" s="48"/>
      <c r="RK37" s="48"/>
      <c r="RL37" s="48"/>
      <c r="RM37" s="48"/>
      <c r="RN37" s="48"/>
      <c r="RO37" s="48"/>
      <c r="RP37" s="48"/>
      <c r="RQ37" s="48"/>
      <c r="RR37" s="48"/>
      <c r="RS37" s="48"/>
      <c r="RT37" s="48"/>
      <c r="RU37" s="48"/>
      <c r="RV37" s="48"/>
      <c r="RW37" s="48"/>
      <c r="RX37" s="48"/>
      <c r="RY37" s="48"/>
      <c r="RZ37" s="48"/>
      <c r="SA37" s="48"/>
      <c r="SB37" s="48"/>
      <c r="SC37" s="48"/>
      <c r="SD37" s="48"/>
      <c r="SE37" s="48"/>
      <c r="SF37" s="48"/>
      <c r="SG37" s="48"/>
      <c r="SH37" s="48"/>
      <c r="SI37" s="48"/>
      <c r="SJ37" s="48"/>
      <c r="SK37" s="48"/>
      <c r="SL37" s="48"/>
      <c r="SM37" s="48"/>
      <c r="SN37" s="48"/>
      <c r="SO37" s="48"/>
      <c r="SP37" s="48"/>
      <c r="SQ37" s="48"/>
      <c r="SR37" s="48"/>
      <c r="SS37" s="48"/>
      <c r="ST37" s="48"/>
      <c r="SU37" s="48"/>
      <c r="SV37" s="48"/>
      <c r="SW37" s="48"/>
      <c r="SX37" s="48"/>
      <c r="SY37" s="48"/>
      <c r="SZ37" s="48"/>
      <c r="TA37" s="48"/>
      <c r="TB37" s="48"/>
      <c r="TC37" s="48"/>
      <c r="TD37" s="48"/>
      <c r="TE37" s="48"/>
      <c r="TF37" s="48"/>
      <c r="TG37" s="48"/>
      <c r="TH37" s="48"/>
      <c r="TI37" s="48"/>
      <c r="TJ37" s="48"/>
      <c r="TK37" s="48"/>
      <c r="TL37" s="48"/>
      <c r="TM37" s="48"/>
      <c r="TN37" s="48"/>
      <c r="TO37" s="48"/>
      <c r="TP37" s="48"/>
      <c r="TQ37" s="48"/>
      <c r="TR37" s="48"/>
      <c r="TS37" s="48"/>
      <c r="TT37" s="48"/>
      <c r="TU37" s="48"/>
      <c r="TV37" s="48"/>
      <c r="TW37" s="48"/>
      <c r="TX37" s="48"/>
      <c r="TY37" s="48"/>
      <c r="TZ37" s="48"/>
      <c r="UA37" s="48"/>
      <c r="UB37" s="48"/>
      <c r="UC37" s="48"/>
      <c r="UD37" s="48"/>
      <c r="UE37" s="48"/>
      <c r="UF37" s="48"/>
      <c r="UG37" s="48"/>
      <c r="UH37" s="48"/>
      <c r="UI37" s="48"/>
      <c r="UJ37" s="48"/>
      <c r="UK37" s="48"/>
      <c r="UL37" s="48"/>
      <c r="UM37" s="48"/>
      <c r="UN37" s="48"/>
      <c r="UO37" s="48"/>
      <c r="UP37" s="48"/>
      <c r="UQ37" s="48"/>
      <c r="UR37" s="48"/>
      <c r="US37" s="48"/>
      <c r="UT37" s="48"/>
      <c r="UU37" s="48"/>
      <c r="UV37" s="48"/>
      <c r="UW37" s="48"/>
      <c r="UX37" s="48"/>
      <c r="UY37" s="48"/>
      <c r="UZ37" s="48"/>
      <c r="VA37" s="48"/>
      <c r="VB37" s="48"/>
      <c r="VC37" s="48"/>
      <c r="VD37" s="48"/>
      <c r="VE37" s="48"/>
      <c r="VF37" s="48"/>
      <c r="VG37" s="48"/>
      <c r="VH37" s="48"/>
      <c r="VI37" s="48"/>
      <c r="VJ37" s="48"/>
      <c r="VK37" s="48"/>
      <c r="VL37" s="48"/>
      <c r="VM37" s="48"/>
      <c r="VN37" s="48"/>
      <c r="VO37" s="48"/>
      <c r="VP37" s="48"/>
      <c r="VQ37" s="48"/>
      <c r="VR37" s="48"/>
      <c r="VS37" s="48"/>
      <c r="VT37" s="48"/>
      <c r="VU37" s="48"/>
      <c r="VV37" s="48"/>
      <c r="VW37" s="48"/>
      <c r="VX37" s="48"/>
      <c r="VY37" s="48"/>
      <c r="VZ37" s="48"/>
      <c r="WA37" s="48"/>
      <c r="WB37" s="48"/>
      <c r="WC37" s="48"/>
      <c r="WD37" s="48"/>
      <c r="WE37" s="48"/>
      <c r="WF37" s="48"/>
      <c r="WG37" s="48"/>
      <c r="WH37" s="48"/>
      <c r="WI37" s="48"/>
      <c r="WJ37" s="48"/>
      <c r="WK37" s="48"/>
      <c r="WL37" s="48"/>
      <c r="WM37" s="48"/>
      <c r="WN37" s="48"/>
      <c r="WO37" s="48"/>
      <c r="WP37" s="48"/>
      <c r="WQ37" s="48"/>
      <c r="WR37" s="48"/>
      <c r="WS37" s="48"/>
      <c r="WT37" s="48"/>
      <c r="WU37" s="48"/>
      <c r="WV37" s="48"/>
      <c r="WW37" s="48"/>
      <c r="WX37" s="48"/>
      <c r="WY37" s="48"/>
      <c r="WZ37" s="48"/>
      <c r="XA37" s="48"/>
      <c r="XB37" s="48"/>
      <c r="XC37" s="48"/>
      <c r="XD37" s="48"/>
      <c r="XE37" s="48"/>
      <c r="XF37" s="48"/>
      <c r="XG37" s="48"/>
      <c r="XH37" s="48"/>
      <c r="XI37" s="48"/>
    </row>
    <row r="38" spans="1:633" x14ac:dyDescent="0.2">
      <c r="D38" s="49"/>
      <c r="E38" s="23"/>
      <c r="F38" s="48"/>
      <c r="H38" s="23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  <c r="FK38" s="48"/>
      <c r="FL38" s="48"/>
      <c r="FM38" s="48"/>
      <c r="FN38" s="48"/>
      <c r="FO38" s="48"/>
      <c r="FP38" s="48"/>
      <c r="FQ38" s="48"/>
      <c r="FR38" s="48"/>
      <c r="FS38" s="48"/>
      <c r="FT38" s="48"/>
      <c r="FU38" s="48"/>
      <c r="FV38" s="48"/>
      <c r="FW38" s="48"/>
      <c r="FX38" s="48"/>
      <c r="FY38" s="48"/>
      <c r="FZ38" s="48"/>
      <c r="GA38" s="48"/>
      <c r="GB38" s="48"/>
      <c r="GC38" s="48"/>
      <c r="GD38" s="48"/>
      <c r="GE38" s="48"/>
      <c r="GF38" s="48"/>
      <c r="GG38" s="48"/>
      <c r="GH38" s="48"/>
      <c r="GI38" s="48"/>
      <c r="GJ38" s="48"/>
      <c r="GK38" s="48"/>
      <c r="GL38" s="48"/>
      <c r="GM38" s="48"/>
      <c r="GN38" s="48"/>
      <c r="GO38" s="48"/>
      <c r="GP38" s="48"/>
      <c r="GQ38" s="48"/>
      <c r="GR38" s="48"/>
      <c r="GS38" s="48"/>
      <c r="GT38" s="48"/>
      <c r="GU38" s="48"/>
      <c r="GV38" s="48"/>
      <c r="GW38" s="48"/>
      <c r="GX38" s="48"/>
      <c r="GY38" s="48"/>
      <c r="GZ38" s="48"/>
      <c r="HA38" s="48"/>
      <c r="HB38" s="48"/>
      <c r="HC38" s="48"/>
      <c r="HD38" s="48"/>
      <c r="HE38" s="48"/>
      <c r="HF38" s="48"/>
      <c r="HG38" s="48"/>
      <c r="HH38" s="48"/>
      <c r="HI38" s="48"/>
      <c r="HJ38" s="48"/>
      <c r="HK38" s="48"/>
      <c r="HL38" s="48"/>
      <c r="HM38" s="48"/>
      <c r="HN38" s="48"/>
      <c r="HO38" s="48"/>
      <c r="HP38" s="48"/>
      <c r="HQ38" s="48"/>
      <c r="HR38" s="48"/>
      <c r="HS38" s="48"/>
      <c r="HT38" s="48"/>
      <c r="HU38" s="48"/>
      <c r="HV38" s="48"/>
      <c r="HW38" s="48"/>
      <c r="HX38" s="48"/>
      <c r="HY38" s="48"/>
      <c r="HZ38" s="48"/>
      <c r="IA38" s="48"/>
      <c r="IB38" s="48"/>
      <c r="IC38" s="48"/>
      <c r="ID38" s="48"/>
      <c r="IE38" s="48"/>
      <c r="IF38" s="48"/>
      <c r="IG38" s="48"/>
      <c r="IH38" s="48"/>
      <c r="II38" s="48"/>
      <c r="IJ38" s="48"/>
      <c r="IK38" s="48"/>
      <c r="IL38" s="48"/>
      <c r="IM38" s="48"/>
      <c r="IN38" s="48"/>
      <c r="IO38" s="48"/>
      <c r="IP38" s="48"/>
      <c r="IQ38" s="48"/>
      <c r="IR38" s="48"/>
      <c r="IS38" s="48"/>
      <c r="IT38" s="48"/>
      <c r="IU38" s="48"/>
      <c r="IV38" s="48"/>
      <c r="IW38" s="48"/>
      <c r="IX38" s="48"/>
      <c r="IY38" s="48"/>
      <c r="IZ38" s="48"/>
      <c r="JA38" s="48"/>
      <c r="JB38" s="48"/>
      <c r="JC38" s="48"/>
      <c r="JD38" s="48"/>
      <c r="JE38" s="48"/>
      <c r="JF38" s="48"/>
      <c r="JG38" s="48"/>
      <c r="JH38" s="48"/>
      <c r="JI38" s="48"/>
      <c r="JJ38" s="48"/>
      <c r="JK38" s="48"/>
      <c r="JL38" s="48"/>
      <c r="JM38" s="48"/>
      <c r="JN38" s="48"/>
      <c r="JO38" s="48"/>
      <c r="JP38" s="48"/>
      <c r="JQ38" s="48"/>
      <c r="JR38" s="48"/>
      <c r="JS38" s="48"/>
      <c r="JT38" s="48"/>
      <c r="JU38" s="48"/>
      <c r="JV38" s="48"/>
      <c r="JW38" s="48"/>
      <c r="JX38" s="48"/>
      <c r="JY38" s="48"/>
      <c r="JZ38" s="48"/>
      <c r="KA38" s="48"/>
      <c r="KB38" s="48"/>
      <c r="KC38" s="48"/>
      <c r="KD38" s="48"/>
      <c r="KE38" s="48"/>
      <c r="KF38" s="48"/>
      <c r="KG38" s="48"/>
      <c r="KH38" s="48"/>
      <c r="KI38" s="48"/>
      <c r="KJ38" s="48"/>
      <c r="KK38" s="48"/>
      <c r="KL38" s="48"/>
      <c r="KM38" s="48"/>
      <c r="KN38" s="48"/>
      <c r="KO38" s="48"/>
      <c r="KP38" s="48"/>
      <c r="KQ38" s="48"/>
      <c r="KR38" s="48"/>
      <c r="KS38" s="48"/>
      <c r="KT38" s="48"/>
      <c r="KU38" s="48"/>
      <c r="KV38" s="48"/>
      <c r="KW38" s="48"/>
      <c r="KX38" s="48"/>
      <c r="KY38" s="48"/>
      <c r="KZ38" s="48"/>
      <c r="LA38" s="48"/>
      <c r="LB38" s="48"/>
      <c r="LC38" s="48"/>
      <c r="LD38" s="48"/>
      <c r="LE38" s="48"/>
      <c r="LF38" s="48"/>
      <c r="LG38" s="48"/>
      <c r="LH38" s="48"/>
      <c r="LI38" s="48"/>
      <c r="LJ38" s="48"/>
      <c r="LK38" s="48"/>
      <c r="LL38" s="48"/>
      <c r="LM38" s="48"/>
      <c r="LN38" s="48"/>
      <c r="LO38" s="48"/>
      <c r="LP38" s="48"/>
      <c r="LQ38" s="48"/>
      <c r="LR38" s="48"/>
      <c r="LS38" s="48"/>
      <c r="LT38" s="48"/>
      <c r="LU38" s="48"/>
      <c r="LV38" s="48"/>
      <c r="LW38" s="48"/>
      <c r="LX38" s="48"/>
      <c r="LY38" s="48"/>
      <c r="LZ38" s="48"/>
      <c r="MA38" s="48"/>
      <c r="MB38" s="48"/>
      <c r="MC38" s="48"/>
      <c r="MD38" s="48"/>
      <c r="ME38" s="48"/>
      <c r="MF38" s="48"/>
      <c r="MG38" s="48"/>
      <c r="MH38" s="48"/>
      <c r="MI38" s="48"/>
      <c r="MJ38" s="48"/>
      <c r="MK38" s="48"/>
      <c r="ML38" s="48"/>
      <c r="MM38" s="48"/>
      <c r="MN38" s="48"/>
      <c r="MO38" s="48"/>
      <c r="MP38" s="48"/>
      <c r="MQ38" s="48"/>
      <c r="MR38" s="48"/>
      <c r="MS38" s="48"/>
      <c r="MT38" s="48"/>
      <c r="MU38" s="48"/>
      <c r="MV38" s="48"/>
      <c r="MW38" s="48"/>
      <c r="MX38" s="48"/>
      <c r="MY38" s="48"/>
      <c r="MZ38" s="48"/>
      <c r="NA38" s="48"/>
      <c r="NB38" s="48"/>
      <c r="NC38" s="48"/>
      <c r="ND38" s="48"/>
      <c r="NE38" s="48"/>
      <c r="NF38" s="48"/>
      <c r="NG38" s="48"/>
      <c r="NH38" s="48"/>
      <c r="NI38" s="48"/>
      <c r="NJ38" s="48"/>
      <c r="NK38" s="48"/>
      <c r="NL38" s="48"/>
      <c r="NM38" s="48"/>
      <c r="NN38" s="48"/>
      <c r="NO38" s="48"/>
      <c r="NP38" s="48"/>
      <c r="NQ38" s="48"/>
      <c r="NR38" s="48"/>
      <c r="NS38" s="48"/>
      <c r="NT38" s="48"/>
      <c r="NU38" s="48"/>
      <c r="NV38" s="48"/>
      <c r="NW38" s="48"/>
      <c r="NX38" s="48"/>
      <c r="NY38" s="48"/>
      <c r="NZ38" s="48"/>
      <c r="OA38" s="48"/>
      <c r="OB38" s="48"/>
      <c r="OC38" s="48"/>
      <c r="OD38" s="48"/>
      <c r="OE38" s="48"/>
      <c r="OF38" s="48"/>
      <c r="OG38" s="48"/>
      <c r="OH38" s="48"/>
      <c r="OI38" s="48"/>
      <c r="OJ38" s="48"/>
      <c r="OK38" s="48"/>
      <c r="OL38" s="48"/>
      <c r="OM38" s="48"/>
      <c r="ON38" s="48"/>
      <c r="OO38" s="48"/>
      <c r="OP38" s="48"/>
      <c r="OQ38" s="48"/>
      <c r="OR38" s="48"/>
      <c r="OS38" s="48"/>
      <c r="OT38" s="48"/>
      <c r="OU38" s="48"/>
      <c r="OV38" s="48"/>
      <c r="OW38" s="48"/>
      <c r="OX38" s="48"/>
      <c r="OY38" s="48"/>
      <c r="OZ38" s="48"/>
      <c r="PA38" s="48"/>
      <c r="PB38" s="48"/>
      <c r="PC38" s="48"/>
      <c r="PD38" s="48"/>
      <c r="PE38" s="48"/>
      <c r="PF38" s="48"/>
      <c r="PG38" s="48"/>
      <c r="PH38" s="48"/>
      <c r="PI38" s="48"/>
      <c r="PJ38" s="48"/>
      <c r="PK38" s="48"/>
      <c r="PL38" s="48"/>
      <c r="PM38" s="48"/>
      <c r="PN38" s="48"/>
      <c r="PO38" s="48"/>
      <c r="PP38" s="48"/>
      <c r="PQ38" s="48"/>
      <c r="PR38" s="48"/>
      <c r="PS38" s="48"/>
      <c r="PT38" s="48"/>
      <c r="PU38" s="48"/>
      <c r="PV38" s="48"/>
      <c r="PW38" s="48"/>
      <c r="PX38" s="48"/>
      <c r="PY38" s="48"/>
      <c r="PZ38" s="48"/>
      <c r="QA38" s="48"/>
      <c r="QB38" s="48"/>
      <c r="QC38" s="48"/>
      <c r="QD38" s="48"/>
      <c r="QE38" s="48"/>
      <c r="QF38" s="48"/>
      <c r="QG38" s="48"/>
      <c r="QH38" s="48"/>
      <c r="QI38" s="48"/>
      <c r="QJ38" s="48"/>
      <c r="QK38" s="48"/>
      <c r="QL38" s="48"/>
      <c r="QM38" s="48"/>
      <c r="QN38" s="48"/>
      <c r="QO38" s="48"/>
      <c r="QP38" s="48"/>
      <c r="QQ38" s="48"/>
      <c r="QR38" s="48"/>
      <c r="QS38" s="48"/>
      <c r="QT38" s="48"/>
      <c r="QU38" s="48"/>
      <c r="QV38" s="48"/>
      <c r="QW38" s="48"/>
      <c r="QX38" s="48"/>
      <c r="QY38" s="48"/>
      <c r="QZ38" s="48"/>
      <c r="RA38" s="48"/>
      <c r="RB38" s="48"/>
      <c r="RC38" s="48"/>
      <c r="RD38" s="48"/>
      <c r="RE38" s="48"/>
      <c r="RF38" s="48"/>
      <c r="RG38" s="48"/>
      <c r="RH38" s="48"/>
      <c r="RI38" s="48"/>
      <c r="RJ38" s="48"/>
      <c r="RK38" s="48"/>
      <c r="RL38" s="48"/>
      <c r="RM38" s="48"/>
      <c r="RN38" s="48"/>
      <c r="RO38" s="48"/>
      <c r="RP38" s="48"/>
      <c r="RQ38" s="48"/>
      <c r="RR38" s="48"/>
      <c r="RS38" s="48"/>
      <c r="RT38" s="48"/>
      <c r="RU38" s="48"/>
      <c r="RV38" s="48"/>
      <c r="RW38" s="48"/>
      <c r="RX38" s="48"/>
      <c r="RY38" s="48"/>
      <c r="RZ38" s="48"/>
      <c r="SA38" s="48"/>
      <c r="SB38" s="48"/>
      <c r="SC38" s="48"/>
      <c r="SD38" s="48"/>
      <c r="SE38" s="48"/>
      <c r="SF38" s="48"/>
      <c r="SG38" s="48"/>
      <c r="SH38" s="48"/>
      <c r="SI38" s="48"/>
      <c r="SJ38" s="48"/>
      <c r="SK38" s="48"/>
      <c r="SL38" s="48"/>
      <c r="SM38" s="48"/>
      <c r="SN38" s="48"/>
      <c r="SO38" s="48"/>
      <c r="SP38" s="48"/>
      <c r="SQ38" s="48"/>
      <c r="SR38" s="48"/>
      <c r="SS38" s="48"/>
      <c r="ST38" s="48"/>
      <c r="SU38" s="48"/>
      <c r="SV38" s="48"/>
      <c r="SW38" s="48"/>
      <c r="SX38" s="48"/>
      <c r="SY38" s="48"/>
      <c r="SZ38" s="48"/>
      <c r="TA38" s="48"/>
      <c r="TB38" s="48"/>
      <c r="TC38" s="48"/>
      <c r="TD38" s="48"/>
      <c r="TE38" s="48"/>
      <c r="TF38" s="48"/>
      <c r="TG38" s="48"/>
      <c r="TH38" s="48"/>
      <c r="TI38" s="48"/>
      <c r="TJ38" s="48"/>
      <c r="TK38" s="48"/>
      <c r="TL38" s="48"/>
      <c r="TM38" s="48"/>
      <c r="TN38" s="48"/>
      <c r="TO38" s="48"/>
      <c r="TP38" s="48"/>
      <c r="TQ38" s="48"/>
      <c r="TR38" s="48"/>
      <c r="TS38" s="48"/>
      <c r="TT38" s="48"/>
      <c r="TU38" s="48"/>
      <c r="TV38" s="48"/>
      <c r="TW38" s="48"/>
      <c r="TX38" s="48"/>
      <c r="TY38" s="48"/>
      <c r="TZ38" s="48"/>
      <c r="UA38" s="48"/>
      <c r="UB38" s="48"/>
      <c r="UC38" s="48"/>
      <c r="UD38" s="48"/>
      <c r="UE38" s="48"/>
      <c r="UF38" s="48"/>
      <c r="UG38" s="48"/>
      <c r="UH38" s="48"/>
      <c r="UI38" s="48"/>
      <c r="UJ38" s="48"/>
      <c r="UK38" s="48"/>
      <c r="UL38" s="48"/>
      <c r="UM38" s="48"/>
      <c r="UN38" s="48"/>
      <c r="UO38" s="48"/>
      <c r="UP38" s="48"/>
      <c r="UQ38" s="48"/>
      <c r="UR38" s="48"/>
      <c r="US38" s="48"/>
      <c r="UT38" s="48"/>
      <c r="UU38" s="48"/>
      <c r="UV38" s="48"/>
      <c r="UW38" s="48"/>
      <c r="UX38" s="48"/>
      <c r="UY38" s="48"/>
      <c r="UZ38" s="48"/>
      <c r="VA38" s="48"/>
      <c r="VB38" s="48"/>
      <c r="VC38" s="48"/>
      <c r="VD38" s="48"/>
      <c r="VE38" s="48"/>
      <c r="VF38" s="48"/>
      <c r="VG38" s="48"/>
      <c r="VH38" s="48"/>
      <c r="VI38" s="48"/>
      <c r="VJ38" s="48"/>
      <c r="VK38" s="48"/>
      <c r="VL38" s="48"/>
      <c r="VM38" s="48"/>
      <c r="VN38" s="48"/>
      <c r="VO38" s="48"/>
      <c r="VP38" s="48"/>
      <c r="VQ38" s="48"/>
      <c r="VR38" s="48"/>
      <c r="VS38" s="48"/>
      <c r="VT38" s="48"/>
      <c r="VU38" s="48"/>
      <c r="VV38" s="48"/>
      <c r="VW38" s="48"/>
      <c r="VX38" s="48"/>
      <c r="VY38" s="48"/>
      <c r="VZ38" s="48"/>
      <c r="WA38" s="48"/>
      <c r="WB38" s="48"/>
      <c r="WC38" s="48"/>
      <c r="WD38" s="48"/>
      <c r="WE38" s="48"/>
      <c r="WF38" s="48"/>
      <c r="WG38" s="48"/>
      <c r="WH38" s="48"/>
      <c r="WI38" s="48"/>
      <c r="WJ38" s="48"/>
      <c r="WK38" s="48"/>
      <c r="WL38" s="48"/>
      <c r="WM38" s="48"/>
      <c r="WN38" s="48"/>
      <c r="WO38" s="48"/>
      <c r="WP38" s="48"/>
      <c r="WQ38" s="48"/>
      <c r="WR38" s="48"/>
      <c r="WS38" s="48"/>
      <c r="WT38" s="48"/>
      <c r="WU38" s="48"/>
      <c r="WV38" s="48"/>
      <c r="WW38" s="48"/>
      <c r="WX38" s="48"/>
      <c r="WY38" s="48"/>
      <c r="WZ38" s="48"/>
      <c r="XA38" s="48"/>
      <c r="XB38" s="48"/>
      <c r="XC38" s="48"/>
      <c r="XD38" s="48"/>
      <c r="XE38" s="48"/>
      <c r="XF38" s="48"/>
      <c r="XG38" s="48"/>
      <c r="XH38" s="48"/>
      <c r="XI38" s="48"/>
    </row>
    <row r="39" spans="1:633" x14ac:dyDescent="0.2">
      <c r="G39" s="5"/>
      <c r="H39" s="5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  <c r="CN39" s="48"/>
      <c r="CO39" s="48"/>
      <c r="CP39" s="48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48"/>
      <c r="DS39" s="48"/>
      <c r="DT39" s="48"/>
      <c r="DU39" s="48"/>
      <c r="DV39" s="48"/>
      <c r="DW39" s="48"/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48"/>
      <c r="ER39" s="48"/>
      <c r="ES39" s="48"/>
      <c r="ET39" s="48"/>
      <c r="EU39" s="48"/>
      <c r="EV39" s="48"/>
      <c r="EW39" s="48"/>
      <c r="EX39" s="48"/>
      <c r="EY39" s="48"/>
      <c r="EZ39" s="48"/>
      <c r="FA39" s="48"/>
      <c r="FB39" s="48"/>
      <c r="FC39" s="48"/>
      <c r="FD39" s="48"/>
      <c r="FE39" s="48"/>
      <c r="FF39" s="48"/>
      <c r="FG39" s="48"/>
      <c r="FH39" s="48"/>
      <c r="FI39" s="48"/>
      <c r="FJ39" s="48"/>
      <c r="FK39" s="48"/>
      <c r="FL39" s="48"/>
      <c r="FM39" s="48"/>
      <c r="FN39" s="48"/>
      <c r="FO39" s="48"/>
      <c r="FP39" s="48"/>
      <c r="FQ39" s="48"/>
      <c r="FR39" s="48"/>
      <c r="FS39" s="48"/>
      <c r="FT39" s="48"/>
      <c r="FU39" s="48"/>
      <c r="FV39" s="48"/>
      <c r="FW39" s="48"/>
      <c r="FX39" s="48"/>
      <c r="FY39" s="48"/>
      <c r="FZ39" s="48"/>
      <c r="GA39" s="48"/>
      <c r="GB39" s="48"/>
      <c r="GC39" s="48"/>
      <c r="GD39" s="48"/>
      <c r="GE39" s="48"/>
      <c r="GF39" s="48"/>
      <c r="GG39" s="48"/>
      <c r="GH39" s="48"/>
      <c r="GI39" s="48"/>
      <c r="GJ39" s="48"/>
      <c r="GK39" s="48"/>
      <c r="GL39" s="48"/>
      <c r="GM39" s="48"/>
      <c r="GN39" s="48"/>
      <c r="GO39" s="48"/>
      <c r="GP39" s="48"/>
      <c r="GQ39" s="48"/>
      <c r="GR39" s="48"/>
      <c r="GS39" s="48"/>
      <c r="GT39" s="48"/>
      <c r="GU39" s="48"/>
      <c r="GV39" s="48"/>
      <c r="GW39" s="48"/>
      <c r="GX39" s="48"/>
      <c r="GY39" s="48"/>
      <c r="GZ39" s="48"/>
      <c r="HA39" s="48"/>
      <c r="HB39" s="48"/>
      <c r="HC39" s="48"/>
      <c r="HD39" s="48"/>
      <c r="HE39" s="48"/>
      <c r="HF39" s="48"/>
      <c r="HG39" s="48"/>
      <c r="HH39" s="48"/>
      <c r="HI39" s="48"/>
      <c r="HJ39" s="48"/>
      <c r="HK39" s="48"/>
      <c r="HL39" s="48"/>
      <c r="HM39" s="48"/>
      <c r="HN39" s="48"/>
      <c r="HO39" s="48"/>
      <c r="HP39" s="48"/>
      <c r="HQ39" s="48"/>
      <c r="HR39" s="48"/>
      <c r="HS39" s="48"/>
      <c r="HT39" s="48"/>
      <c r="HU39" s="48"/>
      <c r="HV39" s="48"/>
      <c r="HW39" s="48"/>
      <c r="HX39" s="48"/>
      <c r="HY39" s="48"/>
      <c r="HZ39" s="48"/>
      <c r="IA39" s="48"/>
      <c r="IB39" s="48"/>
      <c r="IC39" s="48"/>
      <c r="ID39" s="48"/>
      <c r="IE39" s="48"/>
      <c r="IF39" s="48"/>
      <c r="IG39" s="48"/>
      <c r="IH39" s="48"/>
      <c r="II39" s="48"/>
      <c r="IJ39" s="48"/>
      <c r="IK39" s="48"/>
      <c r="IL39" s="48"/>
      <c r="IM39" s="48"/>
      <c r="IN39" s="48"/>
      <c r="IO39" s="48"/>
      <c r="IP39" s="48"/>
      <c r="IQ39" s="48"/>
      <c r="IR39" s="48"/>
      <c r="IS39" s="48"/>
      <c r="IT39" s="48"/>
      <c r="IU39" s="48"/>
      <c r="IV39" s="48"/>
      <c r="IW39" s="48"/>
      <c r="IX39" s="48"/>
      <c r="IY39" s="48"/>
      <c r="IZ39" s="48"/>
      <c r="JA39" s="48"/>
      <c r="JB39" s="48"/>
      <c r="JC39" s="48"/>
      <c r="JD39" s="48"/>
      <c r="JE39" s="48"/>
      <c r="JF39" s="48"/>
      <c r="JG39" s="48"/>
      <c r="JH39" s="48"/>
      <c r="JI39" s="48"/>
      <c r="JJ39" s="48"/>
      <c r="JK39" s="48"/>
      <c r="JL39" s="48"/>
      <c r="JM39" s="48"/>
      <c r="JN39" s="48"/>
      <c r="JO39" s="48"/>
      <c r="JP39" s="48"/>
      <c r="JQ39" s="48"/>
      <c r="JR39" s="48"/>
      <c r="JS39" s="48"/>
      <c r="JT39" s="48"/>
      <c r="JU39" s="48"/>
      <c r="JV39" s="48"/>
      <c r="JW39" s="48"/>
      <c r="JX39" s="48"/>
      <c r="JY39" s="48"/>
      <c r="JZ39" s="48"/>
      <c r="KA39" s="48"/>
      <c r="KB39" s="48"/>
      <c r="KC39" s="48"/>
      <c r="KD39" s="48"/>
      <c r="KE39" s="48"/>
      <c r="KF39" s="48"/>
      <c r="KG39" s="48"/>
      <c r="KH39" s="48"/>
      <c r="KI39" s="48"/>
      <c r="KJ39" s="48"/>
      <c r="KK39" s="48"/>
      <c r="KL39" s="48"/>
      <c r="KM39" s="48"/>
      <c r="KN39" s="48"/>
      <c r="KO39" s="48"/>
      <c r="KP39" s="48"/>
      <c r="KQ39" s="48"/>
      <c r="KR39" s="48"/>
      <c r="KS39" s="48"/>
      <c r="KT39" s="48"/>
      <c r="KU39" s="48"/>
      <c r="KV39" s="48"/>
      <c r="KW39" s="48"/>
      <c r="KX39" s="48"/>
      <c r="KY39" s="48"/>
      <c r="KZ39" s="48"/>
      <c r="LA39" s="48"/>
      <c r="LB39" s="48"/>
      <c r="LC39" s="48"/>
      <c r="LD39" s="48"/>
      <c r="LE39" s="48"/>
      <c r="LF39" s="48"/>
      <c r="LG39" s="48"/>
      <c r="LH39" s="48"/>
      <c r="LI39" s="48"/>
      <c r="LJ39" s="48"/>
      <c r="LK39" s="48"/>
      <c r="LL39" s="48"/>
      <c r="LM39" s="48"/>
      <c r="LN39" s="48"/>
      <c r="LO39" s="48"/>
      <c r="LP39" s="48"/>
      <c r="LQ39" s="48"/>
      <c r="LR39" s="48"/>
      <c r="LS39" s="48"/>
      <c r="LT39" s="48"/>
      <c r="LU39" s="48"/>
      <c r="LV39" s="48"/>
      <c r="LW39" s="48"/>
      <c r="LX39" s="48"/>
      <c r="LY39" s="48"/>
      <c r="LZ39" s="48"/>
      <c r="MA39" s="48"/>
      <c r="MB39" s="48"/>
      <c r="MC39" s="48"/>
      <c r="MD39" s="48"/>
      <c r="ME39" s="48"/>
      <c r="MF39" s="48"/>
      <c r="MG39" s="48"/>
      <c r="MH39" s="48"/>
      <c r="MI39" s="48"/>
      <c r="MJ39" s="48"/>
      <c r="MK39" s="48"/>
      <c r="ML39" s="48"/>
      <c r="MM39" s="48"/>
      <c r="MN39" s="48"/>
      <c r="MO39" s="48"/>
      <c r="MP39" s="48"/>
      <c r="MQ39" s="48"/>
      <c r="MR39" s="48"/>
      <c r="MS39" s="48"/>
      <c r="MT39" s="48"/>
      <c r="MU39" s="48"/>
      <c r="MV39" s="48"/>
      <c r="MW39" s="48"/>
      <c r="MX39" s="48"/>
      <c r="MY39" s="48"/>
      <c r="MZ39" s="48"/>
      <c r="NA39" s="48"/>
      <c r="NB39" s="48"/>
      <c r="NC39" s="48"/>
      <c r="ND39" s="48"/>
      <c r="NE39" s="48"/>
      <c r="NF39" s="48"/>
      <c r="NG39" s="48"/>
      <c r="NH39" s="48"/>
      <c r="NI39" s="48"/>
      <c r="NJ39" s="48"/>
      <c r="NK39" s="48"/>
      <c r="NL39" s="48"/>
      <c r="NM39" s="48"/>
      <c r="NN39" s="48"/>
      <c r="NO39" s="48"/>
      <c r="NP39" s="48"/>
      <c r="NQ39" s="48"/>
      <c r="NR39" s="48"/>
      <c r="NS39" s="48"/>
      <c r="NT39" s="48"/>
      <c r="NU39" s="48"/>
      <c r="NV39" s="48"/>
      <c r="NW39" s="48"/>
      <c r="NX39" s="48"/>
      <c r="NY39" s="48"/>
      <c r="NZ39" s="48"/>
      <c r="OA39" s="48"/>
      <c r="OB39" s="48"/>
      <c r="OC39" s="48"/>
      <c r="OD39" s="48"/>
      <c r="OE39" s="48"/>
      <c r="OF39" s="48"/>
      <c r="OG39" s="48"/>
      <c r="OH39" s="48"/>
      <c r="OI39" s="48"/>
      <c r="OJ39" s="48"/>
      <c r="OK39" s="48"/>
      <c r="OL39" s="48"/>
      <c r="OM39" s="48"/>
      <c r="ON39" s="48"/>
      <c r="OO39" s="48"/>
      <c r="OP39" s="48"/>
      <c r="OQ39" s="48"/>
      <c r="OR39" s="48"/>
      <c r="OS39" s="48"/>
      <c r="OT39" s="48"/>
      <c r="OU39" s="48"/>
      <c r="OV39" s="48"/>
      <c r="OW39" s="48"/>
      <c r="OX39" s="48"/>
      <c r="OY39" s="48"/>
      <c r="OZ39" s="48"/>
      <c r="PA39" s="48"/>
      <c r="PB39" s="48"/>
      <c r="PC39" s="48"/>
      <c r="PD39" s="48"/>
      <c r="PE39" s="48"/>
      <c r="PF39" s="48"/>
      <c r="PG39" s="48"/>
      <c r="PH39" s="48"/>
      <c r="PI39" s="48"/>
      <c r="PJ39" s="48"/>
      <c r="PK39" s="48"/>
      <c r="PL39" s="48"/>
      <c r="PM39" s="48"/>
      <c r="PN39" s="48"/>
      <c r="PO39" s="48"/>
      <c r="PP39" s="48"/>
      <c r="PQ39" s="48"/>
      <c r="PR39" s="48"/>
      <c r="PS39" s="48"/>
      <c r="PT39" s="48"/>
      <c r="PU39" s="48"/>
      <c r="PV39" s="48"/>
      <c r="PW39" s="48"/>
      <c r="PX39" s="48"/>
      <c r="PY39" s="48"/>
      <c r="PZ39" s="48"/>
      <c r="QA39" s="48"/>
      <c r="QB39" s="48"/>
      <c r="QC39" s="48"/>
      <c r="QD39" s="48"/>
      <c r="QE39" s="48"/>
      <c r="QF39" s="48"/>
      <c r="QG39" s="48"/>
      <c r="QH39" s="48"/>
      <c r="QI39" s="48"/>
      <c r="QJ39" s="48"/>
      <c r="QK39" s="48"/>
      <c r="QL39" s="48"/>
      <c r="QM39" s="48"/>
      <c r="QN39" s="48"/>
      <c r="QO39" s="48"/>
      <c r="QP39" s="48"/>
      <c r="QQ39" s="48"/>
      <c r="QR39" s="48"/>
      <c r="QS39" s="48"/>
      <c r="QT39" s="48"/>
      <c r="QU39" s="48"/>
      <c r="QV39" s="48"/>
      <c r="QW39" s="48"/>
      <c r="QX39" s="48"/>
      <c r="QY39" s="48"/>
      <c r="QZ39" s="48"/>
      <c r="RA39" s="48"/>
      <c r="RB39" s="48"/>
      <c r="RC39" s="48"/>
      <c r="RD39" s="48"/>
      <c r="RE39" s="48"/>
      <c r="RF39" s="48"/>
      <c r="RG39" s="48"/>
      <c r="RH39" s="48"/>
      <c r="RI39" s="48"/>
      <c r="RJ39" s="48"/>
      <c r="RK39" s="48"/>
      <c r="RL39" s="48"/>
      <c r="RM39" s="48"/>
      <c r="RN39" s="48"/>
      <c r="RO39" s="48"/>
      <c r="RP39" s="48"/>
      <c r="RQ39" s="48"/>
      <c r="RR39" s="48"/>
      <c r="RS39" s="48"/>
      <c r="RT39" s="48"/>
      <c r="RU39" s="48"/>
      <c r="RV39" s="48"/>
      <c r="RW39" s="48"/>
      <c r="RX39" s="48"/>
      <c r="RY39" s="48"/>
      <c r="RZ39" s="48"/>
      <c r="SA39" s="48"/>
      <c r="SB39" s="48"/>
      <c r="SC39" s="48"/>
      <c r="SD39" s="48"/>
      <c r="SE39" s="48"/>
      <c r="SF39" s="48"/>
      <c r="SG39" s="48"/>
      <c r="SH39" s="48"/>
      <c r="SI39" s="48"/>
      <c r="SJ39" s="48"/>
      <c r="SK39" s="48"/>
      <c r="SL39" s="48"/>
      <c r="SM39" s="48"/>
      <c r="SN39" s="48"/>
      <c r="SO39" s="48"/>
      <c r="SP39" s="48"/>
      <c r="SQ39" s="48"/>
      <c r="SR39" s="48"/>
      <c r="SS39" s="48"/>
      <c r="ST39" s="48"/>
      <c r="SU39" s="48"/>
      <c r="SV39" s="48"/>
      <c r="SW39" s="48"/>
      <c r="SX39" s="48"/>
      <c r="SY39" s="48"/>
      <c r="SZ39" s="48"/>
      <c r="TA39" s="48"/>
      <c r="TB39" s="48"/>
      <c r="TC39" s="48"/>
      <c r="TD39" s="48"/>
      <c r="TE39" s="48"/>
      <c r="TF39" s="48"/>
      <c r="TG39" s="48"/>
      <c r="TH39" s="48"/>
      <c r="TI39" s="48"/>
      <c r="TJ39" s="48"/>
      <c r="TK39" s="48"/>
      <c r="TL39" s="48"/>
      <c r="TM39" s="48"/>
      <c r="TN39" s="48"/>
      <c r="TO39" s="48"/>
      <c r="TP39" s="48"/>
      <c r="TQ39" s="48"/>
      <c r="TR39" s="48"/>
      <c r="TS39" s="48"/>
      <c r="TT39" s="48"/>
      <c r="TU39" s="48"/>
      <c r="TV39" s="48"/>
      <c r="TW39" s="48"/>
      <c r="TX39" s="48"/>
      <c r="TY39" s="48"/>
      <c r="TZ39" s="48"/>
      <c r="UA39" s="48"/>
      <c r="UB39" s="48"/>
      <c r="UC39" s="48"/>
      <c r="UD39" s="48"/>
      <c r="UE39" s="48"/>
      <c r="UF39" s="48"/>
      <c r="UG39" s="48"/>
      <c r="UH39" s="48"/>
      <c r="UI39" s="48"/>
      <c r="UJ39" s="48"/>
      <c r="UK39" s="48"/>
      <c r="UL39" s="48"/>
      <c r="UM39" s="48"/>
      <c r="UN39" s="48"/>
      <c r="UO39" s="48"/>
      <c r="UP39" s="48"/>
      <c r="UQ39" s="48"/>
      <c r="UR39" s="48"/>
      <c r="US39" s="48"/>
      <c r="UT39" s="48"/>
      <c r="UU39" s="48"/>
      <c r="UV39" s="48"/>
      <c r="UW39" s="48"/>
      <c r="UX39" s="48"/>
      <c r="UY39" s="48"/>
      <c r="UZ39" s="48"/>
      <c r="VA39" s="48"/>
      <c r="VB39" s="48"/>
      <c r="VC39" s="48"/>
      <c r="VD39" s="48"/>
      <c r="VE39" s="48"/>
      <c r="VF39" s="48"/>
      <c r="VG39" s="48"/>
      <c r="VH39" s="48"/>
      <c r="VI39" s="48"/>
      <c r="VJ39" s="48"/>
      <c r="VK39" s="48"/>
      <c r="VL39" s="48"/>
      <c r="VM39" s="48"/>
      <c r="VN39" s="48"/>
      <c r="VO39" s="48"/>
      <c r="VP39" s="48"/>
      <c r="VQ39" s="48"/>
      <c r="VR39" s="48"/>
      <c r="VS39" s="48"/>
      <c r="VT39" s="48"/>
      <c r="VU39" s="48"/>
      <c r="VV39" s="48"/>
      <c r="VW39" s="48"/>
      <c r="VX39" s="48"/>
      <c r="VY39" s="48"/>
      <c r="VZ39" s="48"/>
      <c r="WA39" s="48"/>
      <c r="WB39" s="48"/>
      <c r="WC39" s="48"/>
      <c r="WD39" s="48"/>
      <c r="WE39" s="48"/>
      <c r="WF39" s="48"/>
      <c r="WG39" s="48"/>
      <c r="WH39" s="48"/>
      <c r="WI39" s="48"/>
      <c r="WJ39" s="48"/>
      <c r="WK39" s="48"/>
      <c r="WL39" s="48"/>
      <c r="WM39" s="48"/>
      <c r="WN39" s="48"/>
      <c r="WO39" s="48"/>
      <c r="WP39" s="48"/>
      <c r="WQ39" s="48"/>
      <c r="WR39" s="48"/>
      <c r="WS39" s="48"/>
      <c r="WT39" s="48"/>
      <c r="WU39" s="48"/>
      <c r="WV39" s="48"/>
      <c r="WW39" s="48"/>
      <c r="WX39" s="48"/>
      <c r="WY39" s="48"/>
      <c r="WZ39" s="48"/>
      <c r="XA39" s="48"/>
      <c r="XB39" s="48"/>
      <c r="XC39" s="48"/>
      <c r="XD39" s="48"/>
      <c r="XE39" s="48"/>
      <c r="XF39" s="48"/>
      <c r="XG39" s="48"/>
      <c r="XH39" s="48"/>
      <c r="XI39" s="48"/>
    </row>
    <row r="40" spans="1:633" ht="19" x14ac:dyDescent="0.25">
      <c r="A40" s="20" t="s">
        <v>59</v>
      </c>
      <c r="B40" s="20"/>
      <c r="C40" s="24"/>
      <c r="D40" s="34"/>
      <c r="E40" s="20" t="s">
        <v>60</v>
      </c>
      <c r="F40" s="24"/>
      <c r="G40" s="5"/>
      <c r="H40" s="20" t="s">
        <v>59</v>
      </c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  <c r="EY40" s="48"/>
      <c r="EZ40" s="48"/>
      <c r="FA40" s="48"/>
      <c r="FB40" s="48"/>
      <c r="FC40" s="48"/>
      <c r="FD40" s="48"/>
      <c r="FE40" s="48"/>
      <c r="FF40" s="48"/>
      <c r="FG40" s="48"/>
      <c r="FH40" s="48"/>
      <c r="FI40" s="48"/>
      <c r="FJ40" s="48"/>
      <c r="FK40" s="48"/>
      <c r="FL40" s="48"/>
      <c r="FM40" s="48"/>
      <c r="FN40" s="48"/>
      <c r="FO40" s="48"/>
      <c r="FP40" s="48"/>
      <c r="FQ40" s="48"/>
      <c r="FR40" s="48"/>
      <c r="FS40" s="48"/>
      <c r="FT40" s="48"/>
      <c r="FU40" s="48"/>
      <c r="FV40" s="48"/>
      <c r="FW40" s="48"/>
      <c r="FX40" s="48"/>
      <c r="FY40" s="48"/>
      <c r="FZ40" s="48"/>
      <c r="GA40" s="48"/>
      <c r="GB40" s="48"/>
      <c r="GC40" s="48"/>
      <c r="GD40" s="48"/>
      <c r="GE40" s="48"/>
      <c r="GF40" s="48"/>
      <c r="GG40" s="48"/>
      <c r="GH40" s="48"/>
      <c r="GI40" s="48"/>
      <c r="GJ40" s="48"/>
      <c r="GK40" s="48"/>
      <c r="GL40" s="48"/>
      <c r="GM40" s="48"/>
      <c r="GN40" s="48"/>
      <c r="GO40" s="48"/>
      <c r="GP40" s="48"/>
      <c r="GQ40" s="48"/>
      <c r="GR40" s="48"/>
      <c r="GS40" s="48"/>
      <c r="GT40" s="48"/>
      <c r="GU40" s="48"/>
      <c r="GV40" s="48"/>
      <c r="GW40" s="48"/>
      <c r="GX40" s="48"/>
      <c r="GY40" s="48"/>
      <c r="GZ40" s="48"/>
      <c r="HA40" s="48"/>
      <c r="HB40" s="48"/>
      <c r="HC40" s="48"/>
      <c r="HD40" s="48"/>
      <c r="HE40" s="48"/>
      <c r="HF40" s="48"/>
      <c r="HG40" s="48"/>
      <c r="HH40" s="48"/>
      <c r="HI40" s="48"/>
      <c r="HJ40" s="48"/>
      <c r="HK40" s="48"/>
      <c r="HL40" s="48"/>
      <c r="HM40" s="48"/>
      <c r="HN40" s="48"/>
      <c r="HO40" s="48"/>
      <c r="HP40" s="48"/>
      <c r="HQ40" s="48"/>
      <c r="HR40" s="48"/>
      <c r="HS40" s="48"/>
      <c r="HT40" s="48"/>
      <c r="HU40" s="48"/>
      <c r="HV40" s="48"/>
      <c r="HW40" s="48"/>
      <c r="HX40" s="48"/>
      <c r="HY40" s="48"/>
      <c r="HZ40" s="48"/>
      <c r="IA40" s="48"/>
      <c r="IB40" s="48"/>
      <c r="IC40" s="48"/>
      <c r="ID40" s="48"/>
      <c r="IE40" s="48"/>
      <c r="IF40" s="48"/>
      <c r="IG40" s="48"/>
      <c r="IH40" s="48"/>
      <c r="II40" s="48"/>
      <c r="IJ40" s="48"/>
      <c r="IK40" s="48"/>
      <c r="IL40" s="48"/>
      <c r="IM40" s="48"/>
      <c r="IN40" s="48"/>
      <c r="IO40" s="48"/>
      <c r="IP40" s="48"/>
      <c r="IQ40" s="48"/>
      <c r="IR40" s="48"/>
      <c r="IS40" s="48"/>
      <c r="IT40" s="48"/>
      <c r="IU40" s="48"/>
      <c r="IV40" s="48"/>
      <c r="IW40" s="48"/>
      <c r="IX40" s="48"/>
      <c r="IY40" s="48"/>
      <c r="IZ40" s="48"/>
      <c r="JA40" s="48"/>
      <c r="JB40" s="48"/>
      <c r="JC40" s="48"/>
      <c r="JD40" s="48"/>
      <c r="JE40" s="48"/>
      <c r="JF40" s="48"/>
      <c r="JG40" s="48"/>
      <c r="JH40" s="48"/>
      <c r="JI40" s="48"/>
      <c r="JJ40" s="48"/>
      <c r="JK40" s="48"/>
      <c r="JL40" s="48"/>
      <c r="JM40" s="48"/>
      <c r="JN40" s="48"/>
      <c r="JO40" s="48"/>
      <c r="JP40" s="48"/>
      <c r="JQ40" s="48"/>
      <c r="JR40" s="48"/>
      <c r="JS40" s="48"/>
      <c r="JT40" s="48"/>
      <c r="JU40" s="48"/>
      <c r="JV40" s="48"/>
      <c r="JW40" s="48"/>
      <c r="JX40" s="48"/>
      <c r="JY40" s="48"/>
      <c r="JZ40" s="48"/>
      <c r="KA40" s="48"/>
      <c r="KB40" s="48"/>
      <c r="KC40" s="48"/>
      <c r="KD40" s="48"/>
      <c r="KE40" s="48"/>
      <c r="KF40" s="48"/>
      <c r="KG40" s="48"/>
      <c r="KH40" s="48"/>
      <c r="KI40" s="48"/>
      <c r="KJ40" s="48"/>
      <c r="KK40" s="48"/>
      <c r="KL40" s="48"/>
      <c r="KM40" s="48"/>
      <c r="KN40" s="48"/>
      <c r="KO40" s="48"/>
      <c r="KP40" s="48"/>
      <c r="KQ40" s="48"/>
      <c r="KR40" s="48"/>
      <c r="KS40" s="48"/>
      <c r="KT40" s="48"/>
      <c r="KU40" s="48"/>
      <c r="KV40" s="48"/>
      <c r="KW40" s="48"/>
      <c r="KX40" s="48"/>
      <c r="KY40" s="48"/>
      <c r="KZ40" s="48"/>
      <c r="LA40" s="48"/>
      <c r="LB40" s="48"/>
      <c r="LC40" s="48"/>
      <c r="LD40" s="48"/>
      <c r="LE40" s="48"/>
      <c r="LF40" s="48"/>
      <c r="LG40" s="48"/>
      <c r="LH40" s="48"/>
      <c r="LI40" s="48"/>
      <c r="LJ40" s="48"/>
      <c r="LK40" s="48"/>
      <c r="LL40" s="48"/>
      <c r="LM40" s="48"/>
      <c r="LN40" s="48"/>
      <c r="LO40" s="48"/>
      <c r="LP40" s="48"/>
      <c r="LQ40" s="48"/>
      <c r="LR40" s="48"/>
      <c r="LS40" s="48"/>
      <c r="LT40" s="48"/>
      <c r="LU40" s="48"/>
      <c r="LV40" s="48"/>
      <c r="LW40" s="48"/>
      <c r="LX40" s="48"/>
      <c r="LY40" s="48"/>
      <c r="LZ40" s="48"/>
      <c r="MA40" s="48"/>
      <c r="MB40" s="48"/>
      <c r="MC40" s="48"/>
      <c r="MD40" s="48"/>
      <c r="ME40" s="48"/>
      <c r="MF40" s="48"/>
      <c r="MG40" s="48"/>
      <c r="MH40" s="48"/>
      <c r="MI40" s="48"/>
      <c r="MJ40" s="48"/>
      <c r="MK40" s="48"/>
      <c r="ML40" s="48"/>
      <c r="MM40" s="48"/>
      <c r="MN40" s="48"/>
      <c r="MO40" s="48"/>
      <c r="MP40" s="48"/>
      <c r="MQ40" s="48"/>
      <c r="MR40" s="48"/>
      <c r="MS40" s="48"/>
      <c r="MT40" s="48"/>
      <c r="MU40" s="48"/>
      <c r="MV40" s="48"/>
      <c r="MW40" s="48"/>
      <c r="MX40" s="48"/>
      <c r="MY40" s="48"/>
      <c r="MZ40" s="48"/>
      <c r="NA40" s="48"/>
      <c r="NB40" s="48"/>
      <c r="NC40" s="48"/>
      <c r="ND40" s="48"/>
      <c r="NE40" s="48"/>
      <c r="NF40" s="48"/>
      <c r="NG40" s="48"/>
      <c r="NH40" s="48"/>
      <c r="NI40" s="48"/>
      <c r="NJ40" s="48"/>
      <c r="NK40" s="48"/>
      <c r="NL40" s="48"/>
      <c r="NM40" s="48"/>
      <c r="NN40" s="48"/>
      <c r="NO40" s="48"/>
      <c r="NP40" s="48"/>
      <c r="NQ40" s="48"/>
      <c r="NR40" s="48"/>
      <c r="NS40" s="48"/>
      <c r="NT40" s="48"/>
      <c r="NU40" s="48"/>
      <c r="NV40" s="48"/>
      <c r="NW40" s="48"/>
      <c r="NX40" s="48"/>
      <c r="NY40" s="48"/>
      <c r="NZ40" s="48"/>
      <c r="OA40" s="48"/>
      <c r="OB40" s="48"/>
      <c r="OC40" s="48"/>
      <c r="OD40" s="48"/>
      <c r="OE40" s="48"/>
      <c r="OF40" s="48"/>
      <c r="OG40" s="48"/>
      <c r="OH40" s="48"/>
      <c r="OI40" s="48"/>
      <c r="OJ40" s="48"/>
      <c r="OK40" s="48"/>
      <c r="OL40" s="48"/>
      <c r="OM40" s="48"/>
      <c r="ON40" s="48"/>
      <c r="OO40" s="48"/>
      <c r="OP40" s="48"/>
      <c r="OQ40" s="48"/>
      <c r="OR40" s="48"/>
      <c r="OS40" s="48"/>
      <c r="OT40" s="48"/>
      <c r="OU40" s="48"/>
      <c r="OV40" s="48"/>
      <c r="OW40" s="48"/>
      <c r="OX40" s="48"/>
      <c r="OY40" s="48"/>
      <c r="OZ40" s="48"/>
      <c r="PA40" s="48"/>
      <c r="PB40" s="48"/>
      <c r="PC40" s="48"/>
      <c r="PD40" s="48"/>
      <c r="PE40" s="48"/>
      <c r="PF40" s="48"/>
      <c r="PG40" s="48"/>
      <c r="PH40" s="48"/>
      <c r="PI40" s="48"/>
      <c r="PJ40" s="48"/>
      <c r="PK40" s="48"/>
      <c r="PL40" s="48"/>
      <c r="PM40" s="48"/>
      <c r="PN40" s="48"/>
      <c r="PO40" s="48"/>
      <c r="PP40" s="48"/>
      <c r="PQ40" s="48"/>
      <c r="PR40" s="48"/>
      <c r="PS40" s="48"/>
      <c r="PT40" s="48"/>
      <c r="PU40" s="48"/>
      <c r="PV40" s="48"/>
      <c r="PW40" s="48"/>
      <c r="PX40" s="48"/>
      <c r="PY40" s="48"/>
      <c r="PZ40" s="48"/>
      <c r="QA40" s="48"/>
      <c r="QB40" s="48"/>
      <c r="QC40" s="48"/>
      <c r="QD40" s="48"/>
      <c r="QE40" s="48"/>
      <c r="QF40" s="48"/>
      <c r="QG40" s="48"/>
      <c r="QH40" s="48"/>
      <c r="QI40" s="48"/>
      <c r="QJ40" s="48"/>
      <c r="QK40" s="48"/>
      <c r="QL40" s="48"/>
      <c r="QM40" s="48"/>
      <c r="QN40" s="48"/>
      <c r="QO40" s="48"/>
      <c r="QP40" s="48"/>
      <c r="QQ40" s="48"/>
      <c r="QR40" s="48"/>
      <c r="QS40" s="48"/>
      <c r="QT40" s="48"/>
      <c r="QU40" s="48"/>
      <c r="QV40" s="48"/>
      <c r="QW40" s="48"/>
      <c r="QX40" s="48"/>
      <c r="QY40" s="48"/>
      <c r="QZ40" s="48"/>
      <c r="RA40" s="48"/>
      <c r="RB40" s="48"/>
      <c r="RC40" s="48"/>
      <c r="RD40" s="48"/>
      <c r="RE40" s="48"/>
      <c r="RF40" s="48"/>
      <c r="RG40" s="48"/>
      <c r="RH40" s="48"/>
      <c r="RI40" s="48"/>
      <c r="RJ40" s="48"/>
      <c r="RK40" s="48"/>
      <c r="RL40" s="48"/>
      <c r="RM40" s="48"/>
      <c r="RN40" s="48"/>
      <c r="RO40" s="48"/>
      <c r="RP40" s="48"/>
      <c r="RQ40" s="48"/>
      <c r="RR40" s="48"/>
      <c r="RS40" s="48"/>
      <c r="RT40" s="48"/>
      <c r="RU40" s="48"/>
      <c r="RV40" s="48"/>
      <c r="RW40" s="48"/>
      <c r="RX40" s="48"/>
      <c r="RY40" s="48"/>
      <c r="RZ40" s="48"/>
      <c r="SA40" s="48"/>
      <c r="SB40" s="48"/>
      <c r="SC40" s="48"/>
      <c r="SD40" s="48"/>
      <c r="SE40" s="48"/>
      <c r="SF40" s="48"/>
      <c r="SG40" s="48"/>
      <c r="SH40" s="48"/>
      <c r="SI40" s="48"/>
      <c r="SJ40" s="48"/>
      <c r="SK40" s="48"/>
      <c r="SL40" s="48"/>
      <c r="SM40" s="48"/>
      <c r="SN40" s="48"/>
      <c r="SO40" s="48"/>
      <c r="SP40" s="48"/>
      <c r="SQ40" s="48"/>
      <c r="SR40" s="48"/>
      <c r="SS40" s="48"/>
      <c r="ST40" s="48"/>
      <c r="SU40" s="48"/>
      <c r="SV40" s="48"/>
      <c r="SW40" s="48"/>
      <c r="SX40" s="48"/>
      <c r="SY40" s="48"/>
      <c r="SZ40" s="48"/>
      <c r="TA40" s="48"/>
      <c r="TB40" s="48"/>
      <c r="TC40" s="48"/>
      <c r="TD40" s="48"/>
      <c r="TE40" s="48"/>
      <c r="TF40" s="48"/>
      <c r="TG40" s="48"/>
      <c r="TH40" s="48"/>
      <c r="TI40" s="48"/>
      <c r="TJ40" s="48"/>
      <c r="TK40" s="48"/>
      <c r="TL40" s="48"/>
      <c r="TM40" s="48"/>
      <c r="TN40" s="48"/>
      <c r="TO40" s="48"/>
      <c r="TP40" s="48"/>
      <c r="TQ40" s="48"/>
      <c r="TR40" s="48"/>
      <c r="TS40" s="48"/>
      <c r="TT40" s="48"/>
      <c r="TU40" s="48"/>
      <c r="TV40" s="48"/>
      <c r="TW40" s="48"/>
      <c r="TX40" s="48"/>
      <c r="TY40" s="48"/>
      <c r="TZ40" s="48"/>
      <c r="UA40" s="48"/>
      <c r="UB40" s="48"/>
      <c r="UC40" s="48"/>
      <c r="UD40" s="48"/>
      <c r="UE40" s="48"/>
      <c r="UF40" s="48"/>
      <c r="UG40" s="48"/>
      <c r="UH40" s="48"/>
      <c r="UI40" s="48"/>
      <c r="UJ40" s="48"/>
      <c r="UK40" s="48"/>
      <c r="UL40" s="48"/>
      <c r="UM40" s="48"/>
      <c r="UN40" s="48"/>
      <c r="UO40" s="48"/>
      <c r="UP40" s="48"/>
      <c r="UQ40" s="48"/>
      <c r="UR40" s="48"/>
      <c r="US40" s="48"/>
      <c r="UT40" s="48"/>
      <c r="UU40" s="48"/>
      <c r="UV40" s="48"/>
      <c r="UW40" s="48"/>
      <c r="UX40" s="48"/>
      <c r="UY40" s="48"/>
      <c r="UZ40" s="48"/>
      <c r="VA40" s="48"/>
      <c r="VB40" s="48"/>
      <c r="VC40" s="48"/>
      <c r="VD40" s="48"/>
      <c r="VE40" s="48"/>
      <c r="VF40" s="48"/>
      <c r="VG40" s="48"/>
      <c r="VH40" s="48"/>
      <c r="VI40" s="48"/>
      <c r="VJ40" s="48"/>
      <c r="VK40" s="48"/>
      <c r="VL40" s="48"/>
      <c r="VM40" s="48"/>
      <c r="VN40" s="48"/>
      <c r="VO40" s="48"/>
      <c r="VP40" s="48"/>
      <c r="VQ40" s="48"/>
      <c r="VR40" s="48"/>
      <c r="VS40" s="48"/>
      <c r="VT40" s="48"/>
      <c r="VU40" s="48"/>
      <c r="VV40" s="48"/>
      <c r="VW40" s="48"/>
      <c r="VX40" s="48"/>
      <c r="VY40" s="48"/>
      <c r="VZ40" s="48"/>
      <c r="WA40" s="48"/>
      <c r="WB40" s="48"/>
      <c r="WC40" s="48"/>
      <c r="WD40" s="48"/>
      <c r="WE40" s="48"/>
      <c r="WF40" s="48"/>
      <c r="WG40" s="48"/>
      <c r="WH40" s="48"/>
      <c r="WI40" s="48"/>
      <c r="WJ40" s="48"/>
      <c r="WK40" s="48"/>
      <c r="WL40" s="48"/>
      <c r="WM40" s="48"/>
      <c r="WN40" s="48"/>
      <c r="WO40" s="48"/>
      <c r="WP40" s="48"/>
      <c r="WQ40" s="48"/>
      <c r="WR40" s="48"/>
      <c r="WS40" s="48"/>
      <c r="WT40" s="48"/>
      <c r="WU40" s="48"/>
      <c r="WV40" s="48"/>
      <c r="WW40" s="48"/>
      <c r="WX40" s="48"/>
      <c r="WY40" s="48"/>
      <c r="WZ40" s="48"/>
      <c r="XA40" s="48"/>
      <c r="XB40" s="48"/>
      <c r="XC40" s="48"/>
      <c r="XD40" s="48"/>
      <c r="XE40" s="48"/>
      <c r="XF40" s="48"/>
      <c r="XG40" s="48"/>
      <c r="XH40" s="48"/>
      <c r="XI40" s="48"/>
    </row>
    <row r="41" spans="1:633" x14ac:dyDescent="0.2">
      <c r="A41" s="17" t="s">
        <v>61</v>
      </c>
      <c r="B41" s="17"/>
      <c r="C41" s="25">
        <v>-250</v>
      </c>
      <c r="D41" s="34">
        <v>1</v>
      </c>
      <c r="E41" s="17" t="s">
        <v>61</v>
      </c>
      <c r="F41" s="25">
        <f>C41/$C$20</f>
        <v>-250</v>
      </c>
      <c r="G41" s="5"/>
      <c r="H41" s="17" t="s">
        <v>61</v>
      </c>
      <c r="I41" s="5">
        <f>C41</f>
        <v>-250</v>
      </c>
      <c r="J41" s="5">
        <f t="shared" ref="J41:AG41" si="65">I41*J72</f>
        <v>-250</v>
      </c>
      <c r="K41" s="5">
        <f t="shared" si="65"/>
        <v>-250</v>
      </c>
      <c r="L41" s="5">
        <f t="shared" si="65"/>
        <v>-250</v>
      </c>
      <c r="M41" s="5">
        <f t="shared" si="65"/>
        <v>-250</v>
      </c>
      <c r="N41" s="5">
        <f t="shared" si="65"/>
        <v>-250</v>
      </c>
      <c r="O41" s="5">
        <f t="shared" si="65"/>
        <v>-250</v>
      </c>
      <c r="P41" s="5">
        <f t="shared" si="65"/>
        <v>-250</v>
      </c>
      <c r="Q41" s="5">
        <f t="shared" si="65"/>
        <v>-250</v>
      </c>
      <c r="R41" s="5">
        <f t="shared" si="65"/>
        <v>-250</v>
      </c>
      <c r="S41" s="5">
        <f t="shared" si="65"/>
        <v>-250</v>
      </c>
      <c r="T41" s="5">
        <f t="shared" si="65"/>
        <v>-250</v>
      </c>
      <c r="U41" s="5">
        <f t="shared" si="65"/>
        <v>-250</v>
      </c>
      <c r="V41" s="5">
        <f t="shared" si="65"/>
        <v>-250</v>
      </c>
      <c r="W41" s="5">
        <f t="shared" si="65"/>
        <v>-250</v>
      </c>
      <c r="X41" s="5">
        <f t="shared" si="65"/>
        <v>-250</v>
      </c>
      <c r="Y41" s="5">
        <f t="shared" si="65"/>
        <v>-250</v>
      </c>
      <c r="Z41" s="5">
        <f t="shared" si="65"/>
        <v>-250</v>
      </c>
      <c r="AA41" s="5">
        <f t="shared" si="65"/>
        <v>-250</v>
      </c>
      <c r="AB41" s="5">
        <f t="shared" si="65"/>
        <v>-250</v>
      </c>
      <c r="AC41" s="5">
        <f t="shared" si="65"/>
        <v>-250</v>
      </c>
      <c r="AD41" s="5">
        <f t="shared" si="65"/>
        <v>-250</v>
      </c>
      <c r="AE41" s="5">
        <f t="shared" si="65"/>
        <v>-250</v>
      </c>
      <c r="AF41" s="5">
        <f t="shared" si="65"/>
        <v>-250</v>
      </c>
      <c r="AG41" s="5">
        <f t="shared" si="65"/>
        <v>-250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</row>
    <row r="42" spans="1:633" x14ac:dyDescent="0.2">
      <c r="A42" s="17" t="s">
        <v>219</v>
      </c>
      <c r="B42" s="17"/>
      <c r="C42" s="43">
        <v>-53804.906363636401</v>
      </c>
      <c r="D42" s="34">
        <v>1</v>
      </c>
      <c r="E42" s="17" t="s">
        <v>62</v>
      </c>
      <c r="F42" s="25">
        <f>C42/$C$20</f>
        <v>-53804.906363636401</v>
      </c>
      <c r="G42" s="5"/>
      <c r="H42" s="17" t="s">
        <v>62</v>
      </c>
      <c r="I42" s="5">
        <f>$C$42*I73</f>
        <v>-67256.132954545494</v>
      </c>
      <c r="J42" s="5">
        <f t="shared" ref="J42:AG42" si="66">I42*J73</f>
        <v>-70618.939602272774</v>
      </c>
      <c r="K42" s="5">
        <f t="shared" si="66"/>
        <v>-74149.886582386418</v>
      </c>
      <c r="L42" s="5">
        <f t="shared" si="66"/>
        <v>-77857.380911505737</v>
      </c>
      <c r="M42" s="5">
        <f t="shared" si="66"/>
        <v>-85643.119002656313</v>
      </c>
      <c r="N42" s="5">
        <f t="shared" si="66"/>
        <v>-94207.430902921958</v>
      </c>
      <c r="O42" s="5">
        <f t="shared" si="66"/>
        <v>-103628.17399321416</v>
      </c>
      <c r="P42" s="5">
        <f t="shared" si="66"/>
        <v>-113990.99139253559</v>
      </c>
      <c r="Q42" s="5">
        <f t="shared" si="66"/>
        <v>-119690.54096216238</v>
      </c>
      <c r="R42" s="5">
        <f t="shared" si="66"/>
        <v>-125675.06801027051</v>
      </c>
      <c r="S42" s="5">
        <f t="shared" si="66"/>
        <v>-131958.82141078403</v>
      </c>
      <c r="T42" s="5">
        <f t="shared" si="66"/>
        <v>-138556.76248132324</v>
      </c>
      <c r="U42" s="5">
        <f t="shared" si="66"/>
        <v>-138556.76248132324</v>
      </c>
      <c r="V42" s="5">
        <f t="shared" si="66"/>
        <v>-138556.76248132324</v>
      </c>
      <c r="W42" s="5">
        <f t="shared" si="66"/>
        <v>-142020.6815433563</v>
      </c>
      <c r="X42" s="5">
        <f t="shared" si="66"/>
        <v>-145571.1985819402</v>
      </c>
      <c r="Y42" s="5">
        <f t="shared" si="66"/>
        <v>-149210.47854648871</v>
      </c>
      <c r="Z42" s="5">
        <f t="shared" si="66"/>
        <v>-152940.74051015091</v>
      </c>
      <c r="AA42" s="5">
        <f t="shared" si="66"/>
        <v>-156764.25902290468</v>
      </c>
      <c r="AB42" s="5">
        <f t="shared" si="66"/>
        <v>-160683.36549847727</v>
      </c>
      <c r="AC42" s="5">
        <f t="shared" si="66"/>
        <v>-164700.44963593918</v>
      </c>
      <c r="AD42" s="5">
        <f t="shared" si="66"/>
        <v>-168817.96087683763</v>
      </c>
      <c r="AE42" s="5">
        <f t="shared" si="66"/>
        <v>-173038.40989875857</v>
      </c>
      <c r="AF42" s="5">
        <f t="shared" si="66"/>
        <v>-177364.37014622753</v>
      </c>
      <c r="AG42" s="5">
        <f t="shared" si="66"/>
        <v>-181798.47939988322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</row>
    <row r="43" spans="1:633" x14ac:dyDescent="0.2">
      <c r="A43" s="17" t="s">
        <v>63</v>
      </c>
      <c r="B43" s="17"/>
      <c r="C43" s="42">
        <v>-121.363636363636</v>
      </c>
      <c r="D43" s="34">
        <v>1</v>
      </c>
      <c r="E43" s="17" t="s">
        <v>63</v>
      </c>
      <c r="F43" s="25">
        <f>C43/$C$20</f>
        <v>-121.363636363636</v>
      </c>
      <c r="G43" s="5"/>
      <c r="H43" s="17" t="s">
        <v>63</v>
      </c>
      <c r="I43" s="5">
        <f>C43</f>
        <v>-121.363636363636</v>
      </c>
      <c r="J43" s="5">
        <f t="shared" ref="J43:AG43" si="67">I43*J74</f>
        <v>-124.3977272727269</v>
      </c>
      <c r="K43" s="5">
        <f t="shared" si="67"/>
        <v>-127.50767045454506</v>
      </c>
      <c r="L43" s="5">
        <f t="shared" si="67"/>
        <v>-130.69536221590869</v>
      </c>
      <c r="M43" s="5">
        <f t="shared" si="67"/>
        <v>-133.9627462713064</v>
      </c>
      <c r="N43" s="5">
        <f t="shared" si="67"/>
        <v>-137.31181492808903</v>
      </c>
      <c r="O43" s="5">
        <f t="shared" si="67"/>
        <v>-140.74461030129126</v>
      </c>
      <c r="P43" s="5">
        <f t="shared" si="67"/>
        <v>-144.26322555882354</v>
      </c>
      <c r="Q43" s="5">
        <f t="shared" si="67"/>
        <v>-147.86980619779411</v>
      </c>
      <c r="R43" s="5">
        <f t="shared" si="67"/>
        <v>-151.56655135273894</v>
      </c>
      <c r="S43" s="5">
        <f t="shared" si="67"/>
        <v>-155.35571513655739</v>
      </c>
      <c r="T43" s="5">
        <f t="shared" si="67"/>
        <v>-159.23960801497131</v>
      </c>
      <c r="U43" s="5">
        <f t="shared" si="67"/>
        <v>-163.22059821534557</v>
      </c>
      <c r="V43" s="5">
        <f t="shared" si="67"/>
        <v>-167.3011131707292</v>
      </c>
      <c r="W43" s="5">
        <f t="shared" si="67"/>
        <v>-171.48364099999742</v>
      </c>
      <c r="X43" s="5">
        <f t="shared" si="67"/>
        <v>-175.77073202499733</v>
      </c>
      <c r="Y43" s="5">
        <f t="shared" si="67"/>
        <v>-180.16500032562226</v>
      </c>
      <c r="Z43" s="5">
        <f t="shared" si="67"/>
        <v>-184.66912533376279</v>
      </c>
      <c r="AA43" s="5">
        <f t="shared" si="67"/>
        <v>-189.28585346710685</v>
      </c>
      <c r="AB43" s="5">
        <f t="shared" si="67"/>
        <v>-194.01799980378451</v>
      </c>
      <c r="AC43" s="5">
        <f t="shared" si="67"/>
        <v>-198.86844979887911</v>
      </c>
      <c r="AD43" s="5">
        <f t="shared" si="67"/>
        <v>-203.84016104385108</v>
      </c>
      <c r="AE43" s="5">
        <f t="shared" si="67"/>
        <v>-208.93616506994735</v>
      </c>
      <c r="AF43" s="5">
        <f t="shared" si="67"/>
        <v>-214.15956919669603</v>
      </c>
      <c r="AG43" s="5">
        <f t="shared" si="67"/>
        <v>-219.5135584266134</v>
      </c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</row>
    <row r="44" spans="1:633" x14ac:dyDescent="0.2">
      <c r="A44" s="17" t="s">
        <v>54</v>
      </c>
      <c r="B44" s="17"/>
      <c r="C44" s="42">
        <v>-4477.18</v>
      </c>
      <c r="D44" s="34"/>
      <c r="E44" s="17" t="s">
        <v>54</v>
      </c>
      <c r="F44" s="25"/>
      <c r="G44" s="5"/>
      <c r="H44" s="17" t="s">
        <v>54</v>
      </c>
      <c r="I44" s="5">
        <f>C44</f>
        <v>-4477.18</v>
      </c>
      <c r="J44" s="5">
        <f t="shared" ref="J44:AG44" si="68">I44*J75</f>
        <v>-4589.1094999999996</v>
      </c>
      <c r="K44" s="5">
        <f t="shared" si="68"/>
        <v>-4703.837237499999</v>
      </c>
      <c r="L44" s="5">
        <f t="shared" si="68"/>
        <v>-4821.4331684374984</v>
      </c>
      <c r="M44" s="5">
        <f t="shared" si="68"/>
        <v>-4941.9689976484351</v>
      </c>
      <c r="N44" s="5">
        <f t="shared" si="68"/>
        <v>-5065.5182225896451</v>
      </c>
      <c r="O44" s="5">
        <f t="shared" si="68"/>
        <v>-5192.156178154386</v>
      </c>
      <c r="P44" s="5">
        <f t="shared" si="68"/>
        <v>-5321.9600826082451</v>
      </c>
      <c r="Q44" s="5">
        <f t="shared" si="68"/>
        <v>-5455.0090846734511</v>
      </c>
      <c r="R44" s="5">
        <f t="shared" si="68"/>
        <v>-5591.384311790287</v>
      </c>
      <c r="S44" s="5">
        <f t="shared" si="68"/>
        <v>-5731.168919585044</v>
      </c>
      <c r="T44" s="5">
        <f t="shared" si="68"/>
        <v>-5874.4481425746699</v>
      </c>
      <c r="U44" s="5">
        <f t="shared" si="68"/>
        <v>-6021.3093461390363</v>
      </c>
      <c r="V44" s="5">
        <f t="shared" si="68"/>
        <v>-6171.8420797925119</v>
      </c>
      <c r="W44" s="5">
        <f t="shared" si="68"/>
        <v>-6326.1381317873238</v>
      </c>
      <c r="X44" s="5">
        <f t="shared" si="68"/>
        <v>-6484.2915850820063</v>
      </c>
      <c r="Y44" s="5">
        <f t="shared" si="68"/>
        <v>-6646.3988747090561</v>
      </c>
      <c r="Z44" s="5">
        <f t="shared" si="68"/>
        <v>-6812.5588465767823</v>
      </c>
      <c r="AA44" s="5">
        <f t="shared" si="68"/>
        <v>-6982.8728177412013</v>
      </c>
      <c r="AB44" s="5">
        <f t="shared" si="68"/>
        <v>-7157.444638184731</v>
      </c>
      <c r="AC44" s="5">
        <f t="shared" si="68"/>
        <v>-7336.3807541393489</v>
      </c>
      <c r="AD44" s="5">
        <f t="shared" si="68"/>
        <v>-7519.7902729928319</v>
      </c>
      <c r="AE44" s="5">
        <f t="shared" si="68"/>
        <v>-7707.7850298176518</v>
      </c>
      <c r="AF44" s="5">
        <f t="shared" si="68"/>
        <v>-7900.4796555630928</v>
      </c>
      <c r="AG44" s="5">
        <f t="shared" si="68"/>
        <v>-8097.9916469521695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</row>
    <row r="45" spans="1:633" x14ac:dyDescent="0.2">
      <c r="A45" s="17" t="s">
        <v>55</v>
      </c>
      <c r="B45" s="17"/>
      <c r="C45" s="42">
        <v>-237.99</v>
      </c>
      <c r="D45" s="34"/>
      <c r="E45" s="17" t="s">
        <v>55</v>
      </c>
      <c r="F45" s="25"/>
      <c r="G45" s="5"/>
      <c r="H45" s="17" t="s">
        <v>55</v>
      </c>
      <c r="I45" s="5">
        <f>C45</f>
        <v>-237.99</v>
      </c>
      <c r="J45" s="5">
        <f t="shared" ref="J45:AG45" si="69">I45*J76</f>
        <v>-243.93974999999998</v>
      </c>
      <c r="K45" s="5">
        <f t="shared" si="69"/>
        <v>-250.03824374999996</v>
      </c>
      <c r="L45" s="5">
        <f t="shared" si="69"/>
        <v>-256.28919984374994</v>
      </c>
      <c r="M45" s="5">
        <f t="shared" si="69"/>
        <v>-262.69642983984369</v>
      </c>
      <c r="N45" s="5">
        <f t="shared" si="69"/>
        <v>-269.26384058583977</v>
      </c>
      <c r="O45" s="5">
        <f t="shared" si="69"/>
        <v>-275.99543660048573</v>
      </c>
      <c r="P45" s="5">
        <f t="shared" si="69"/>
        <v>-282.89532251549787</v>
      </c>
      <c r="Q45" s="5">
        <f t="shared" si="69"/>
        <v>-289.96770557838528</v>
      </c>
      <c r="R45" s="5">
        <f t="shared" si="69"/>
        <v>-297.21689821784486</v>
      </c>
      <c r="S45" s="5">
        <f t="shared" si="69"/>
        <v>-304.64732067329095</v>
      </c>
      <c r="T45" s="5">
        <f t="shared" si="69"/>
        <v>-312.26350369012317</v>
      </c>
      <c r="U45" s="5">
        <f t="shared" si="69"/>
        <v>-320.07009128237621</v>
      </c>
      <c r="V45" s="5">
        <f t="shared" si="69"/>
        <v>-328.0718435644356</v>
      </c>
      <c r="W45" s="5">
        <f t="shared" si="69"/>
        <v>-336.27363965354647</v>
      </c>
      <c r="X45" s="5">
        <f t="shared" si="69"/>
        <v>-344.68048064488511</v>
      </c>
      <c r="Y45" s="5">
        <f t="shared" si="69"/>
        <v>-353.2974926610072</v>
      </c>
      <c r="Z45" s="5">
        <f t="shared" si="69"/>
        <v>-362.12992997753236</v>
      </c>
      <c r="AA45" s="5">
        <f t="shared" si="69"/>
        <v>-371.18317822697065</v>
      </c>
      <c r="AB45" s="5">
        <f t="shared" si="69"/>
        <v>-380.46275768264491</v>
      </c>
      <c r="AC45" s="5">
        <f t="shared" si="69"/>
        <v>-389.97432662471101</v>
      </c>
      <c r="AD45" s="5">
        <f t="shared" si="69"/>
        <v>-399.72368479032878</v>
      </c>
      <c r="AE45" s="5">
        <f t="shared" si="69"/>
        <v>-409.71677691008694</v>
      </c>
      <c r="AF45" s="5">
        <f t="shared" si="69"/>
        <v>-419.95969633283909</v>
      </c>
      <c r="AG45" s="5">
        <f t="shared" si="69"/>
        <v>-430.45868874116002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</row>
    <row r="46" spans="1:633" x14ac:dyDescent="0.2">
      <c r="A46" s="17" t="s">
        <v>57</v>
      </c>
      <c r="B46" s="17"/>
      <c r="C46" s="42">
        <v>0</v>
      </c>
      <c r="D46" s="34"/>
      <c r="E46" s="17" t="s">
        <v>57</v>
      </c>
      <c r="F46" s="25"/>
      <c r="G46" s="5"/>
      <c r="H46" s="17" t="s">
        <v>57</v>
      </c>
      <c r="I46" s="5">
        <f t="shared" ref="I46:AG46" si="70">I77*1</f>
        <v>0</v>
      </c>
      <c r="J46" s="5">
        <f t="shared" si="70"/>
        <v>0</v>
      </c>
      <c r="K46" s="5">
        <f t="shared" si="70"/>
        <v>0</v>
      </c>
      <c r="L46" s="5">
        <f t="shared" si="70"/>
        <v>0</v>
      </c>
      <c r="M46" s="5">
        <f t="shared" si="70"/>
        <v>0</v>
      </c>
      <c r="N46" s="5">
        <f t="shared" si="70"/>
        <v>0</v>
      </c>
      <c r="O46" s="5">
        <f t="shared" si="70"/>
        <v>0</v>
      </c>
      <c r="P46" s="5">
        <f t="shared" si="70"/>
        <v>0</v>
      </c>
      <c r="Q46" s="5">
        <f t="shared" si="70"/>
        <v>0</v>
      </c>
      <c r="R46" s="5">
        <f t="shared" si="70"/>
        <v>0</v>
      </c>
      <c r="S46" s="5">
        <f t="shared" si="70"/>
        <v>0</v>
      </c>
      <c r="T46" s="5">
        <f t="shared" si="70"/>
        <v>0</v>
      </c>
      <c r="U46" s="5">
        <f t="shared" si="70"/>
        <v>0</v>
      </c>
      <c r="V46" s="5">
        <f t="shared" si="70"/>
        <v>0</v>
      </c>
      <c r="W46" s="5">
        <f t="shared" si="70"/>
        <v>0</v>
      </c>
      <c r="X46" s="5">
        <f t="shared" si="70"/>
        <v>0</v>
      </c>
      <c r="Y46" s="5">
        <f t="shared" si="70"/>
        <v>0</v>
      </c>
      <c r="Z46" s="5">
        <f t="shared" si="70"/>
        <v>0</v>
      </c>
      <c r="AA46" s="5">
        <f t="shared" si="70"/>
        <v>0</v>
      </c>
      <c r="AB46" s="5">
        <f t="shared" si="70"/>
        <v>0</v>
      </c>
      <c r="AC46" s="5">
        <f t="shared" si="70"/>
        <v>0</v>
      </c>
      <c r="AD46" s="5">
        <f t="shared" si="70"/>
        <v>0</v>
      </c>
      <c r="AE46" s="5">
        <f t="shared" si="70"/>
        <v>0</v>
      </c>
      <c r="AF46" s="5">
        <f t="shared" si="70"/>
        <v>0</v>
      </c>
      <c r="AG46" s="5">
        <f t="shared" si="70"/>
        <v>0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</row>
    <row r="47" spans="1:633" hidden="1" x14ac:dyDescent="0.2">
      <c r="A47" s="17" t="s">
        <v>56</v>
      </c>
      <c r="B47" s="17"/>
      <c r="C47" s="42">
        <v>0</v>
      </c>
      <c r="D47" s="34"/>
      <c r="E47" s="17" t="s">
        <v>56</v>
      </c>
      <c r="F47" s="25"/>
      <c r="G47" s="5"/>
      <c r="H47" s="17" t="s">
        <v>56</v>
      </c>
      <c r="I47" s="5">
        <v>-25000</v>
      </c>
      <c r="J47" s="5">
        <f t="shared" ref="J47:AG47" si="71">I47*J78</f>
        <v>-50000</v>
      </c>
      <c r="K47" s="5">
        <f t="shared" si="71"/>
        <v>-50000</v>
      </c>
      <c r="L47" s="5">
        <f t="shared" si="71"/>
        <v>-50000</v>
      </c>
      <c r="M47" s="5">
        <f t="shared" si="71"/>
        <v>-50000</v>
      </c>
      <c r="N47" s="5">
        <f t="shared" si="71"/>
        <v>-110000.00000000001</v>
      </c>
      <c r="O47" s="5">
        <f t="shared" si="71"/>
        <v>-132000</v>
      </c>
      <c r="P47" s="5">
        <f t="shared" si="71"/>
        <v>-165000</v>
      </c>
      <c r="Q47" s="5">
        <f t="shared" si="71"/>
        <v>-165000</v>
      </c>
      <c r="R47" s="5">
        <f t="shared" si="71"/>
        <v>-165000</v>
      </c>
      <c r="S47" s="5">
        <f t="shared" si="71"/>
        <v>-165000</v>
      </c>
      <c r="T47" s="5">
        <f t="shared" si="71"/>
        <v>-165000</v>
      </c>
      <c r="U47" s="5">
        <f t="shared" si="71"/>
        <v>-165000</v>
      </c>
      <c r="V47" s="5">
        <f t="shared" si="71"/>
        <v>-165000</v>
      </c>
      <c r="W47" s="5">
        <f t="shared" si="71"/>
        <v>-165000</v>
      </c>
      <c r="X47" s="5">
        <f t="shared" si="71"/>
        <v>-165000</v>
      </c>
      <c r="Y47" s="5">
        <f t="shared" si="71"/>
        <v>-165000</v>
      </c>
      <c r="Z47" s="5">
        <f t="shared" si="71"/>
        <v>-165000</v>
      </c>
      <c r="AA47" s="5">
        <f t="shared" si="71"/>
        <v>-173250</v>
      </c>
      <c r="AB47" s="5">
        <f t="shared" si="71"/>
        <v>-181912.5</v>
      </c>
      <c r="AC47" s="5">
        <f t="shared" si="71"/>
        <v>-191008.125</v>
      </c>
      <c r="AD47" s="5">
        <f t="shared" si="71"/>
        <v>-200558.53125</v>
      </c>
      <c r="AE47" s="5">
        <f t="shared" si="71"/>
        <v>-210586.45781250001</v>
      </c>
      <c r="AF47" s="5">
        <f t="shared" si="71"/>
        <v>-221115.78070312503</v>
      </c>
      <c r="AG47" s="5">
        <f t="shared" si="71"/>
        <v>-232171.56973828128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</row>
    <row r="48" spans="1:633" x14ac:dyDescent="0.2">
      <c r="A48" s="17"/>
      <c r="B48" s="17"/>
      <c r="C48" s="42"/>
      <c r="D48" s="34"/>
      <c r="E48" s="17"/>
      <c r="F48" s="25"/>
      <c r="G48" s="5"/>
      <c r="H48" s="17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</row>
    <row r="49" spans="1:62" x14ac:dyDescent="0.2">
      <c r="A49" s="17" t="s">
        <v>51</v>
      </c>
      <c r="B49" s="17"/>
      <c r="C49" s="42"/>
      <c r="D49" s="34"/>
      <c r="E49" s="17" t="s">
        <v>51</v>
      </c>
      <c r="F49" s="22">
        <v>-500</v>
      </c>
      <c r="G49" s="5"/>
      <c r="H49" s="17" t="s">
        <v>51</v>
      </c>
      <c r="I49" s="5">
        <f>$F$49*I20</f>
        <v>-1500</v>
      </c>
      <c r="J49" s="5">
        <f>$F$49*J20</f>
        <v>-2000</v>
      </c>
      <c r="K49" s="5">
        <f t="shared" ref="K49:AG49" si="72">$F$49*K20</f>
        <v>-3500</v>
      </c>
      <c r="L49" s="5">
        <f t="shared" si="72"/>
        <v>-2850</v>
      </c>
      <c r="M49" s="5">
        <f t="shared" si="72"/>
        <v>-3277.5</v>
      </c>
      <c r="N49" s="5">
        <f t="shared" si="72"/>
        <v>-3769.1249999999995</v>
      </c>
      <c r="O49" s="5">
        <f t="shared" si="72"/>
        <v>-4522.9499999999989</v>
      </c>
      <c r="P49" s="5">
        <f t="shared" si="72"/>
        <v>-5427.5399999999991</v>
      </c>
      <c r="Q49" s="5">
        <f t="shared" si="72"/>
        <v>-6513.047999999998</v>
      </c>
      <c r="R49" s="5">
        <f t="shared" si="72"/>
        <v>-8466.9623999999985</v>
      </c>
      <c r="S49" s="5">
        <f t="shared" si="72"/>
        <v>-11007.051119999998</v>
      </c>
      <c r="T49" s="5">
        <f t="shared" si="72"/>
        <v>-14772.621239999997</v>
      </c>
      <c r="U49" s="5">
        <f t="shared" si="72"/>
        <v>-16988.514425999994</v>
      </c>
      <c r="V49" s="5">
        <f t="shared" si="72"/>
        <v>-19536.791589899993</v>
      </c>
      <c r="W49" s="5">
        <f t="shared" si="72"/>
        <v>-23015.106641591992</v>
      </c>
      <c r="X49" s="5">
        <f t="shared" si="72"/>
        <v>-27124.728213679187</v>
      </c>
      <c r="Y49" s="5">
        <f t="shared" si="72"/>
        <v>-31193.437445731062</v>
      </c>
      <c r="Z49" s="5">
        <f t="shared" si="72"/>
        <v>-35872.453062590721</v>
      </c>
      <c r="AA49" s="5">
        <f t="shared" si="72"/>
        <v>-41253.321021979325</v>
      </c>
      <c r="AB49" s="5">
        <f t="shared" si="72"/>
        <v>-47441.319175276221</v>
      </c>
      <c r="AC49" s="5">
        <f t="shared" si="72"/>
        <v>-54557.517051567651</v>
      </c>
      <c r="AD49" s="5">
        <f t="shared" si="72"/>
        <v>-62741.144609302792</v>
      </c>
      <c r="AE49" s="5">
        <f t="shared" si="72"/>
        <v>-72152.316300698207</v>
      </c>
      <c r="AF49" s="5">
        <f t="shared" si="72"/>
        <v>-82975.163745802929</v>
      </c>
      <c r="AG49" s="5">
        <f t="shared" si="72"/>
        <v>-95421.43830767335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</row>
    <row r="50" spans="1:62" x14ac:dyDescent="0.2">
      <c r="A50" s="17" t="s">
        <v>52</v>
      </c>
      <c r="B50" s="17"/>
      <c r="C50" s="42"/>
      <c r="D50" s="34"/>
      <c r="E50" s="17" t="s">
        <v>52</v>
      </c>
      <c r="F50" s="22">
        <v>-500</v>
      </c>
      <c r="G50" s="5"/>
      <c r="H50" s="17" t="s">
        <v>52</v>
      </c>
      <c r="I50" s="5">
        <f>$F$50*I20</f>
        <v>-1500</v>
      </c>
      <c r="J50" s="5">
        <f>$F$50*J20</f>
        <v>-2000</v>
      </c>
      <c r="K50" s="5">
        <f t="shared" ref="K50:AG50" si="73">$F$50*K20</f>
        <v>-3500</v>
      </c>
      <c r="L50" s="5">
        <f t="shared" si="73"/>
        <v>-2850</v>
      </c>
      <c r="M50" s="5">
        <f t="shared" si="73"/>
        <v>-3277.5</v>
      </c>
      <c r="N50" s="5">
        <f t="shared" si="73"/>
        <v>-3769.1249999999995</v>
      </c>
      <c r="O50" s="5">
        <f t="shared" si="73"/>
        <v>-4522.9499999999989</v>
      </c>
      <c r="P50" s="5">
        <f t="shared" si="73"/>
        <v>-5427.5399999999991</v>
      </c>
      <c r="Q50" s="5">
        <f t="shared" si="73"/>
        <v>-6513.047999999998</v>
      </c>
      <c r="R50" s="5">
        <f t="shared" si="73"/>
        <v>-8466.9623999999985</v>
      </c>
      <c r="S50" s="5">
        <f t="shared" si="73"/>
        <v>-11007.051119999998</v>
      </c>
      <c r="T50" s="5">
        <f t="shared" si="73"/>
        <v>-14772.621239999997</v>
      </c>
      <c r="U50" s="5">
        <f t="shared" si="73"/>
        <v>-16988.514425999994</v>
      </c>
      <c r="V50" s="5">
        <f t="shared" si="73"/>
        <v>-19536.791589899993</v>
      </c>
      <c r="W50" s="5">
        <f t="shared" si="73"/>
        <v>-23015.106641591992</v>
      </c>
      <c r="X50" s="5">
        <f t="shared" si="73"/>
        <v>-27124.728213679187</v>
      </c>
      <c r="Y50" s="5">
        <f t="shared" si="73"/>
        <v>-31193.437445731062</v>
      </c>
      <c r="Z50" s="5">
        <f t="shared" si="73"/>
        <v>-35872.453062590721</v>
      </c>
      <c r="AA50" s="5">
        <f t="shared" si="73"/>
        <v>-41253.321021979325</v>
      </c>
      <c r="AB50" s="5">
        <f t="shared" si="73"/>
        <v>-47441.319175276221</v>
      </c>
      <c r="AC50" s="5">
        <f t="shared" si="73"/>
        <v>-54557.517051567651</v>
      </c>
      <c r="AD50" s="5">
        <f t="shared" si="73"/>
        <v>-62741.144609302792</v>
      </c>
      <c r="AE50" s="5">
        <f t="shared" si="73"/>
        <v>-72152.316300698207</v>
      </c>
      <c r="AF50" s="5">
        <f t="shared" si="73"/>
        <v>-82975.163745802929</v>
      </c>
      <c r="AG50" s="5">
        <f t="shared" si="73"/>
        <v>-95421.43830767335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</row>
    <row r="51" spans="1:62" x14ac:dyDescent="0.2">
      <c r="A51" s="17" t="s">
        <v>222</v>
      </c>
      <c r="B51" s="17"/>
      <c r="C51" s="42"/>
      <c r="D51" s="34"/>
      <c r="E51" s="17" t="s">
        <v>222</v>
      </c>
      <c r="F51" s="22">
        <v>-750</v>
      </c>
      <c r="G51" s="5"/>
      <c r="H51" s="17" t="s">
        <v>222</v>
      </c>
      <c r="I51" s="5">
        <f>$F$51*I20</f>
        <v>-2250</v>
      </c>
      <c r="J51" s="5">
        <f>$F$51*J20</f>
        <v>-3000</v>
      </c>
      <c r="K51" s="5">
        <f t="shared" ref="K51:AG51" si="74">$F$51*K20</f>
        <v>-5250</v>
      </c>
      <c r="L51" s="5">
        <f t="shared" si="74"/>
        <v>-4275</v>
      </c>
      <c r="M51" s="5">
        <f t="shared" si="74"/>
        <v>-4916.25</v>
      </c>
      <c r="N51" s="5">
        <f t="shared" si="74"/>
        <v>-5653.6874999999991</v>
      </c>
      <c r="O51" s="5">
        <f t="shared" si="74"/>
        <v>-6784.4249999999984</v>
      </c>
      <c r="P51" s="5">
        <f t="shared" si="74"/>
        <v>-8141.3099999999977</v>
      </c>
      <c r="Q51" s="5">
        <f t="shared" si="74"/>
        <v>-9769.5719999999965</v>
      </c>
      <c r="R51" s="5">
        <f t="shared" si="74"/>
        <v>-12700.443599999997</v>
      </c>
      <c r="S51" s="5">
        <f t="shared" si="74"/>
        <v>-16510.576679999998</v>
      </c>
      <c r="T51" s="5">
        <f t="shared" si="74"/>
        <v>-22158.931859999997</v>
      </c>
      <c r="U51" s="5">
        <f t="shared" si="74"/>
        <v>-25482.771638999991</v>
      </c>
      <c r="V51" s="5">
        <f t="shared" si="74"/>
        <v>-29305.187384849985</v>
      </c>
      <c r="W51" s="5">
        <f t="shared" si="74"/>
        <v>-34522.659962387988</v>
      </c>
      <c r="X51" s="5">
        <f t="shared" si="74"/>
        <v>-40687.092320518779</v>
      </c>
      <c r="Y51" s="5">
        <f t="shared" si="74"/>
        <v>-46790.156168596593</v>
      </c>
      <c r="Z51" s="5">
        <f t="shared" si="74"/>
        <v>-53808.679593886081</v>
      </c>
      <c r="AA51" s="5">
        <f t="shared" si="74"/>
        <v>-61879.981532968988</v>
      </c>
      <c r="AB51" s="5">
        <f t="shared" si="74"/>
        <v>-71161.978762914325</v>
      </c>
      <c r="AC51" s="5">
        <f t="shared" si="74"/>
        <v>-81836.27557735148</v>
      </c>
      <c r="AD51" s="5">
        <f t="shared" si="74"/>
        <v>-94111.716913954195</v>
      </c>
      <c r="AE51" s="5">
        <f t="shared" si="74"/>
        <v>-108228.47445104731</v>
      </c>
      <c r="AF51" s="5">
        <f t="shared" si="74"/>
        <v>-124462.7456187044</v>
      </c>
      <c r="AG51" s="5">
        <f t="shared" si="74"/>
        <v>-143132.15746151004</v>
      </c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</row>
    <row r="52" spans="1:62" x14ac:dyDescent="0.2">
      <c r="A52" s="17" t="s">
        <v>223</v>
      </c>
      <c r="B52" s="17"/>
      <c r="C52" s="42"/>
      <c r="D52" s="34"/>
      <c r="E52" s="17" t="s">
        <v>223</v>
      </c>
      <c r="F52" s="22">
        <v>-750</v>
      </c>
      <c r="G52" s="5"/>
      <c r="H52" s="17" t="s">
        <v>223</v>
      </c>
      <c r="I52" s="5">
        <f>$F$52*I20</f>
        <v>-2250</v>
      </c>
      <c r="J52" s="5">
        <f>$F$52*J20</f>
        <v>-3000</v>
      </c>
      <c r="K52" s="5">
        <f t="shared" ref="K52:AG52" si="75">$F$52*K20</f>
        <v>-5250</v>
      </c>
      <c r="L52" s="5">
        <f t="shared" si="75"/>
        <v>-4275</v>
      </c>
      <c r="M52" s="5">
        <f t="shared" si="75"/>
        <v>-4916.25</v>
      </c>
      <c r="N52" s="5">
        <f t="shared" si="75"/>
        <v>-5653.6874999999991</v>
      </c>
      <c r="O52" s="5">
        <f t="shared" si="75"/>
        <v>-6784.4249999999984</v>
      </c>
      <c r="P52" s="5">
        <f t="shared" si="75"/>
        <v>-8141.3099999999977</v>
      </c>
      <c r="Q52" s="5">
        <f t="shared" si="75"/>
        <v>-9769.5719999999965</v>
      </c>
      <c r="R52" s="5">
        <f t="shared" si="75"/>
        <v>-12700.443599999997</v>
      </c>
      <c r="S52" s="5">
        <f t="shared" si="75"/>
        <v>-16510.576679999998</v>
      </c>
      <c r="T52" s="5">
        <f t="shared" si="75"/>
        <v>-22158.931859999997</v>
      </c>
      <c r="U52" s="5">
        <f t="shared" si="75"/>
        <v>-25482.771638999991</v>
      </c>
      <c r="V52" s="5">
        <f t="shared" si="75"/>
        <v>-29305.187384849985</v>
      </c>
      <c r="W52" s="5">
        <f t="shared" si="75"/>
        <v>-34522.659962387988</v>
      </c>
      <c r="X52" s="5">
        <f t="shared" si="75"/>
        <v>-40687.092320518779</v>
      </c>
      <c r="Y52" s="5">
        <f t="shared" si="75"/>
        <v>-46790.156168596593</v>
      </c>
      <c r="Z52" s="5">
        <f t="shared" si="75"/>
        <v>-53808.679593886081</v>
      </c>
      <c r="AA52" s="5">
        <f t="shared" si="75"/>
        <v>-61879.981532968988</v>
      </c>
      <c r="AB52" s="5">
        <f t="shared" si="75"/>
        <v>-71161.978762914325</v>
      </c>
      <c r="AC52" s="5">
        <f t="shared" si="75"/>
        <v>-81836.27557735148</v>
      </c>
      <c r="AD52" s="5">
        <f t="shared" si="75"/>
        <v>-94111.716913954195</v>
      </c>
      <c r="AE52" s="5">
        <f t="shared" si="75"/>
        <v>-108228.47445104731</v>
      </c>
      <c r="AF52" s="5">
        <f t="shared" si="75"/>
        <v>-124462.7456187044</v>
      </c>
      <c r="AG52" s="5">
        <f t="shared" si="75"/>
        <v>-143132.15746151004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</row>
    <row r="53" spans="1:62" x14ac:dyDescent="0.2">
      <c r="A53" s="17"/>
      <c r="B53" s="17"/>
      <c r="C53" s="42"/>
      <c r="D53" s="34"/>
      <c r="E53" s="17"/>
      <c r="F53" s="25"/>
      <c r="G53" s="5"/>
      <c r="H53" s="17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</row>
    <row r="54" spans="1:62" x14ac:dyDescent="0.2">
      <c r="A54" s="17" t="s">
        <v>58</v>
      </c>
      <c r="B54" s="17"/>
      <c r="C54" s="42">
        <v>-1800</v>
      </c>
      <c r="D54" s="34"/>
      <c r="E54" s="17" t="s">
        <v>58</v>
      </c>
      <c r="F54" s="25"/>
      <c r="G54" s="5"/>
      <c r="H54" s="17" t="s">
        <v>58</v>
      </c>
      <c r="I54" s="5">
        <f t="shared" ref="I54:N54" si="76">-1800*I81</f>
        <v>-1800</v>
      </c>
      <c r="J54" s="5">
        <f t="shared" si="76"/>
        <v>-1800</v>
      </c>
      <c r="K54" s="5">
        <f t="shared" si="76"/>
        <v>-1800</v>
      </c>
      <c r="L54" s="5">
        <f t="shared" si="76"/>
        <v>-1800</v>
      </c>
      <c r="M54" s="5">
        <f t="shared" si="76"/>
        <v>-1800</v>
      </c>
      <c r="N54" s="5">
        <f t="shared" si="76"/>
        <v>-2700</v>
      </c>
      <c r="O54" s="5">
        <f t="shared" ref="O54:AG54" si="77">-N54*O81</f>
        <v>3240</v>
      </c>
      <c r="P54" s="5">
        <f t="shared" si="77"/>
        <v>-3888</v>
      </c>
      <c r="Q54" s="5">
        <f t="shared" si="77"/>
        <v>4665.5999999999995</v>
      </c>
      <c r="R54" s="5">
        <f t="shared" si="77"/>
        <v>-5598.7199999999993</v>
      </c>
      <c r="S54" s="5">
        <f t="shared" si="77"/>
        <v>5598.7199999999993</v>
      </c>
      <c r="T54" s="5">
        <f t="shared" si="77"/>
        <v>-5598.7199999999993</v>
      </c>
      <c r="U54" s="5">
        <f t="shared" si="77"/>
        <v>5598.7199999999993</v>
      </c>
      <c r="V54" s="5">
        <f t="shared" si="77"/>
        <v>-5598.7199999999993</v>
      </c>
      <c r="W54" s="5">
        <f t="shared" si="77"/>
        <v>5598.7199999999993</v>
      </c>
      <c r="X54" s="5">
        <f t="shared" si="77"/>
        <v>-5598.7199999999993</v>
      </c>
      <c r="Y54" s="5">
        <f t="shared" si="77"/>
        <v>5598.7199999999993</v>
      </c>
      <c r="Z54" s="5">
        <f t="shared" si="77"/>
        <v>-5598.7199999999993</v>
      </c>
      <c r="AA54" s="5">
        <f t="shared" si="77"/>
        <v>5598.7199999999993</v>
      </c>
      <c r="AB54" s="5">
        <f t="shared" si="77"/>
        <v>-5598.7199999999993</v>
      </c>
      <c r="AC54" s="5">
        <f t="shared" si="77"/>
        <v>5598.7199999999993</v>
      </c>
      <c r="AD54" s="5">
        <f t="shared" si="77"/>
        <v>-5598.7199999999993</v>
      </c>
      <c r="AE54" s="5">
        <f t="shared" si="77"/>
        <v>5598.7199999999993</v>
      </c>
      <c r="AF54" s="5">
        <f t="shared" si="77"/>
        <v>-5598.7199999999993</v>
      </c>
      <c r="AG54" s="5">
        <f t="shared" si="77"/>
        <v>5598.7199999999993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</row>
    <row r="55" spans="1:62" x14ac:dyDescent="0.2">
      <c r="A55" s="17" t="s">
        <v>64</v>
      </c>
      <c r="B55" s="17"/>
      <c r="C55" s="25">
        <v>0</v>
      </c>
      <c r="D55" s="34">
        <v>1</v>
      </c>
      <c r="E55" s="17" t="s">
        <v>64</v>
      </c>
      <c r="F55" s="25">
        <f t="shared" ref="F55:F59" si="78">C55/$C$20</f>
        <v>0</v>
      </c>
      <c r="G55" s="5"/>
      <c r="H55" s="17" t="s">
        <v>64</v>
      </c>
      <c r="I55" s="5">
        <f t="shared" ref="I55:M56" si="79">$F55*I$20</f>
        <v>0</v>
      </c>
      <c r="J55" s="5">
        <f t="shared" si="79"/>
        <v>0</v>
      </c>
      <c r="K55" s="5">
        <f t="shared" si="79"/>
        <v>0</v>
      </c>
      <c r="L55" s="5">
        <f t="shared" si="79"/>
        <v>0</v>
      </c>
      <c r="M55" s="5">
        <f t="shared" si="79"/>
        <v>0</v>
      </c>
      <c r="N55" s="5">
        <f>N82</f>
        <v>3</v>
      </c>
      <c r="O55" s="5">
        <f>O82</f>
        <v>-13303.198439592848</v>
      </c>
      <c r="P55" s="5">
        <f t="shared" ref="P55:AG55" si="80">P82</f>
        <v>-14142.069083552135</v>
      </c>
      <c r="Q55" s="5">
        <f t="shared" si="80"/>
        <v>-14744.56397772974</v>
      </c>
      <c r="R55" s="5">
        <f t="shared" si="80"/>
        <v>-15572.57505661623</v>
      </c>
      <c r="S55" s="5">
        <f t="shared" si="80"/>
        <v>-15572.57505661623</v>
      </c>
      <c r="T55" s="5">
        <f t="shared" si="80"/>
        <v>-15572.57505661623</v>
      </c>
      <c r="U55" s="5">
        <f t="shared" si="80"/>
        <v>-15572.57505661623</v>
      </c>
      <c r="V55" s="5">
        <f t="shared" si="80"/>
        <v>-15572.57505661623</v>
      </c>
      <c r="W55" s="5">
        <f t="shared" si="80"/>
        <v>-15572.57505661623</v>
      </c>
      <c r="X55" s="5">
        <f t="shared" si="80"/>
        <v>-15572.57505661623</v>
      </c>
      <c r="Y55" s="5">
        <f t="shared" si="80"/>
        <v>-15572.57505661623</v>
      </c>
      <c r="Z55" s="5">
        <f t="shared" si="80"/>
        <v>-15572.57505661623</v>
      </c>
      <c r="AA55" s="5">
        <f t="shared" si="80"/>
        <v>-15572.57505661623</v>
      </c>
      <c r="AB55" s="5">
        <f t="shared" si="80"/>
        <v>-15572.57505661623</v>
      </c>
      <c r="AC55" s="5">
        <f t="shared" si="80"/>
        <v>-15572.57505661623</v>
      </c>
      <c r="AD55" s="5">
        <f t="shared" si="80"/>
        <v>-15572.57505661623</v>
      </c>
      <c r="AE55" s="5">
        <f t="shared" si="80"/>
        <v>-15572.57505661623</v>
      </c>
      <c r="AF55" s="5">
        <f t="shared" si="80"/>
        <v>-15572.57505661623</v>
      </c>
      <c r="AG55" s="5">
        <f t="shared" si="80"/>
        <v>-15572.57505661623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</row>
    <row r="56" spans="1:62" x14ac:dyDescent="0.2">
      <c r="A56" s="17" t="s">
        <v>65</v>
      </c>
      <c r="B56" s="17"/>
      <c r="C56" s="25">
        <v>0</v>
      </c>
      <c r="D56" s="34">
        <v>1</v>
      </c>
      <c r="E56" s="17" t="s">
        <v>65</v>
      </c>
      <c r="F56" s="25">
        <f t="shared" si="78"/>
        <v>0</v>
      </c>
      <c r="G56" s="5"/>
      <c r="H56" s="17" t="s">
        <v>65</v>
      </c>
      <c r="I56" s="5">
        <f t="shared" si="79"/>
        <v>0</v>
      </c>
      <c r="J56" s="5">
        <f t="shared" si="79"/>
        <v>0</v>
      </c>
      <c r="K56" s="5">
        <f t="shared" si="79"/>
        <v>0</v>
      </c>
      <c r="L56" s="5">
        <f t="shared" si="79"/>
        <v>0</v>
      </c>
      <c r="M56" s="5">
        <f t="shared" si="79"/>
        <v>0</v>
      </c>
      <c r="N56" s="5">
        <f t="shared" ref="N56:AG56" si="81">SUM(N50:N52)*0.17</f>
        <v>-2563.0049999999997</v>
      </c>
      <c r="O56" s="5">
        <f t="shared" si="81"/>
        <v>-3075.6059999999993</v>
      </c>
      <c r="P56" s="5">
        <f t="shared" si="81"/>
        <v>-3690.7271999999998</v>
      </c>
      <c r="Q56" s="5">
        <f t="shared" si="81"/>
        <v>-4428.8726399999987</v>
      </c>
      <c r="R56" s="5">
        <f t="shared" si="81"/>
        <v>-5757.5344319999995</v>
      </c>
      <c r="S56" s="5">
        <f t="shared" si="81"/>
        <v>-7484.7947615999992</v>
      </c>
      <c r="T56" s="5">
        <f t="shared" si="81"/>
        <v>-10045.382443199998</v>
      </c>
      <c r="U56" s="5">
        <f t="shared" si="81"/>
        <v>-11552.189809679998</v>
      </c>
      <c r="V56" s="5">
        <f t="shared" si="81"/>
        <v>-13285.018281131994</v>
      </c>
      <c r="W56" s="5">
        <f t="shared" si="81"/>
        <v>-15650.272516282555</v>
      </c>
      <c r="X56" s="5">
        <f t="shared" si="81"/>
        <v>-18444.815185301846</v>
      </c>
      <c r="Y56" s="5">
        <f t="shared" si="81"/>
        <v>-21211.537463097124</v>
      </c>
      <c r="Z56" s="5">
        <f t="shared" si="81"/>
        <v>-24393.268082561692</v>
      </c>
      <c r="AA56" s="5">
        <f t="shared" si="81"/>
        <v>-28052.258294945943</v>
      </c>
      <c r="AB56" s="5">
        <f t="shared" si="81"/>
        <v>-32260.097039187833</v>
      </c>
      <c r="AC56" s="5">
        <f t="shared" si="81"/>
        <v>-37099.111595066002</v>
      </c>
      <c r="AD56" s="5">
        <f t="shared" si="81"/>
        <v>-42663.978334325904</v>
      </c>
      <c r="AE56" s="5">
        <f t="shared" si="81"/>
        <v>-49063.575084474782</v>
      </c>
      <c r="AF56" s="5">
        <f t="shared" si="81"/>
        <v>-56423.111347145998</v>
      </c>
      <c r="AG56" s="5">
        <f t="shared" si="81"/>
        <v>-64886.578049217882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</row>
    <row r="57" spans="1:62" x14ac:dyDescent="0.2">
      <c r="A57" s="17" t="s">
        <v>66</v>
      </c>
      <c r="B57" s="17"/>
      <c r="C57" s="25">
        <v>-500</v>
      </c>
      <c r="D57" s="34">
        <v>1</v>
      </c>
      <c r="E57" s="17" t="s">
        <v>66</v>
      </c>
      <c r="F57" s="25">
        <f t="shared" si="78"/>
        <v>-500</v>
      </c>
      <c r="H57" s="17" t="s">
        <v>66</v>
      </c>
      <c r="I57" s="5">
        <f>F57*I85</f>
        <v>-1000</v>
      </c>
      <c r="J57" s="5">
        <f t="shared" ref="J57:AG57" si="82">I57*J85</f>
        <v>-1050</v>
      </c>
      <c r="K57" s="5">
        <f t="shared" si="82"/>
        <v>-1155</v>
      </c>
      <c r="L57" s="5">
        <f t="shared" si="82"/>
        <v>-1270.5</v>
      </c>
      <c r="M57" s="5">
        <f t="shared" si="82"/>
        <v>-1397.5500000000002</v>
      </c>
      <c r="N57" s="5">
        <f t="shared" si="82"/>
        <v>-1537.3050000000003</v>
      </c>
      <c r="O57" s="5">
        <f t="shared" si="82"/>
        <v>-1691.0355000000004</v>
      </c>
      <c r="P57" s="5">
        <f t="shared" si="82"/>
        <v>-1860.1390500000007</v>
      </c>
      <c r="Q57" s="5">
        <f t="shared" si="82"/>
        <v>-2046.1529550000009</v>
      </c>
      <c r="R57" s="5">
        <f t="shared" si="82"/>
        <v>-2250.7682505000012</v>
      </c>
      <c r="S57" s="5">
        <f t="shared" si="82"/>
        <v>-2475.8450755500016</v>
      </c>
      <c r="T57" s="5">
        <f t="shared" si="82"/>
        <v>-2723.4295831050022</v>
      </c>
      <c r="U57" s="5">
        <f t="shared" si="82"/>
        <v>-2791.5153226826269</v>
      </c>
      <c r="V57" s="5">
        <f t="shared" si="82"/>
        <v>-2861.3032057496926</v>
      </c>
      <c r="W57" s="5">
        <f t="shared" si="82"/>
        <v>-2932.8357858934346</v>
      </c>
      <c r="X57" s="5">
        <f t="shared" si="82"/>
        <v>-3006.1566805407701</v>
      </c>
      <c r="Y57" s="5">
        <f t="shared" si="82"/>
        <v>-3081.310597554289</v>
      </c>
      <c r="Z57" s="5">
        <f t="shared" si="82"/>
        <v>-3158.3433624931458</v>
      </c>
      <c r="AA57" s="5">
        <f t="shared" si="82"/>
        <v>-3237.3019465554744</v>
      </c>
      <c r="AB57" s="5">
        <f t="shared" si="82"/>
        <v>-3318.2344952193612</v>
      </c>
      <c r="AC57" s="5">
        <f t="shared" si="82"/>
        <v>-3401.1903575998449</v>
      </c>
      <c r="AD57" s="5">
        <f t="shared" si="82"/>
        <v>-3486.2201165398405</v>
      </c>
      <c r="AE57" s="5">
        <f t="shared" si="82"/>
        <v>-3573.3756194533362</v>
      </c>
      <c r="AF57" s="5">
        <f t="shared" si="82"/>
        <v>-3662.7100099396694</v>
      </c>
      <c r="AG57" s="5">
        <f t="shared" si="82"/>
        <v>-3754.2777601881608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</row>
    <row r="58" spans="1:62" x14ac:dyDescent="0.2">
      <c r="A58" s="17" t="s">
        <v>67</v>
      </c>
      <c r="B58" s="17"/>
      <c r="C58" s="26">
        <v>0</v>
      </c>
      <c r="D58" s="34">
        <v>1</v>
      </c>
      <c r="E58" s="17" t="s">
        <v>67</v>
      </c>
      <c r="F58" s="25">
        <f t="shared" si="78"/>
        <v>0</v>
      </c>
      <c r="H58" s="17" t="s">
        <v>67</v>
      </c>
      <c r="I58" s="5">
        <f t="shared" ref="I58:L59" si="83">$F58*I$20</f>
        <v>0</v>
      </c>
      <c r="J58" s="5">
        <f t="shared" si="83"/>
        <v>0</v>
      </c>
      <c r="K58" s="5">
        <f t="shared" si="83"/>
        <v>0</v>
      </c>
      <c r="L58" s="5">
        <f t="shared" si="83"/>
        <v>0</v>
      </c>
      <c r="M58" s="5">
        <f>M88</f>
        <v>250</v>
      </c>
      <c r="N58" s="5">
        <f>M58*N88</f>
        <v>250</v>
      </c>
      <c r="O58" s="5">
        <f t="shared" ref="O58:AG58" si="84">N58*O88</f>
        <v>250</v>
      </c>
      <c r="P58" s="5">
        <f t="shared" si="84"/>
        <v>250</v>
      </c>
      <c r="Q58" s="5">
        <f t="shared" si="84"/>
        <v>250</v>
      </c>
      <c r="R58" s="5">
        <f t="shared" si="84"/>
        <v>250</v>
      </c>
      <c r="S58" s="5">
        <f t="shared" si="84"/>
        <v>250</v>
      </c>
      <c r="T58" s="5">
        <f t="shared" si="84"/>
        <v>250</v>
      </c>
      <c r="U58" s="5">
        <f t="shared" si="84"/>
        <v>250</v>
      </c>
      <c r="V58" s="5">
        <f t="shared" si="84"/>
        <v>250</v>
      </c>
      <c r="W58" s="5">
        <f t="shared" si="84"/>
        <v>250</v>
      </c>
      <c r="X58" s="5">
        <f t="shared" si="84"/>
        <v>250</v>
      </c>
      <c r="Y58" s="5">
        <f t="shared" si="84"/>
        <v>250</v>
      </c>
      <c r="Z58" s="5">
        <f t="shared" si="84"/>
        <v>250</v>
      </c>
      <c r="AA58" s="5">
        <f t="shared" si="84"/>
        <v>250</v>
      </c>
      <c r="AB58" s="5">
        <f t="shared" si="84"/>
        <v>250</v>
      </c>
      <c r="AC58" s="5">
        <f t="shared" si="84"/>
        <v>250</v>
      </c>
      <c r="AD58" s="5">
        <f t="shared" si="84"/>
        <v>250</v>
      </c>
      <c r="AE58" s="5">
        <f t="shared" si="84"/>
        <v>250</v>
      </c>
      <c r="AF58" s="5">
        <f t="shared" si="84"/>
        <v>250</v>
      </c>
      <c r="AG58" s="5">
        <f t="shared" si="84"/>
        <v>250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</row>
    <row r="59" spans="1:62" x14ac:dyDescent="0.2">
      <c r="A59" s="17" t="s">
        <v>70</v>
      </c>
      <c r="B59" s="17"/>
      <c r="C59" s="26">
        <v>0</v>
      </c>
      <c r="D59" s="34"/>
      <c r="E59" s="17" t="s">
        <v>70</v>
      </c>
      <c r="F59" s="25">
        <f t="shared" si="78"/>
        <v>0</v>
      </c>
      <c r="H59" s="17" t="s">
        <v>70</v>
      </c>
      <c r="I59" s="5">
        <f t="shared" si="83"/>
        <v>0</v>
      </c>
      <c r="J59" s="5">
        <f t="shared" si="83"/>
        <v>0</v>
      </c>
      <c r="K59" s="5">
        <f t="shared" si="83"/>
        <v>0</v>
      </c>
      <c r="L59" s="5">
        <f t="shared" si="83"/>
        <v>0</v>
      </c>
      <c r="M59" s="5">
        <f>M89</f>
        <v>5000</v>
      </c>
      <c r="N59" s="5">
        <f>M59*N89</f>
        <v>5000</v>
      </c>
      <c r="O59" s="5">
        <f t="shared" ref="O59:AG59" si="85">N59*O89</f>
        <v>5000</v>
      </c>
      <c r="P59" s="5">
        <f t="shared" si="85"/>
        <v>5000</v>
      </c>
      <c r="Q59" s="5">
        <f t="shared" si="85"/>
        <v>5000</v>
      </c>
      <c r="R59" s="5">
        <f t="shared" si="85"/>
        <v>5000</v>
      </c>
      <c r="S59" s="5">
        <f t="shared" si="85"/>
        <v>5000</v>
      </c>
      <c r="T59" s="5">
        <f t="shared" si="85"/>
        <v>5000</v>
      </c>
      <c r="U59" s="5">
        <f t="shared" si="85"/>
        <v>5000</v>
      </c>
      <c r="V59" s="5">
        <f t="shared" si="85"/>
        <v>5000</v>
      </c>
      <c r="W59" s="5">
        <f t="shared" si="85"/>
        <v>5000</v>
      </c>
      <c r="X59" s="5">
        <f t="shared" si="85"/>
        <v>5000</v>
      </c>
      <c r="Y59" s="5">
        <f t="shared" si="85"/>
        <v>5000</v>
      </c>
      <c r="Z59" s="5">
        <f t="shared" si="85"/>
        <v>5000</v>
      </c>
      <c r="AA59" s="5">
        <f t="shared" si="85"/>
        <v>5000</v>
      </c>
      <c r="AB59" s="5">
        <f t="shared" si="85"/>
        <v>5000</v>
      </c>
      <c r="AC59" s="5">
        <f t="shared" si="85"/>
        <v>5000</v>
      </c>
      <c r="AD59" s="5">
        <f t="shared" si="85"/>
        <v>5000</v>
      </c>
      <c r="AE59" s="5">
        <f t="shared" si="85"/>
        <v>5000</v>
      </c>
      <c r="AF59" s="5">
        <f t="shared" si="85"/>
        <v>5000</v>
      </c>
      <c r="AG59" s="5">
        <f t="shared" si="85"/>
        <v>5000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</row>
    <row r="60" spans="1:62" ht="16" thickBot="1" x14ac:dyDescent="0.25">
      <c r="A60" s="3"/>
      <c r="B60" s="3"/>
      <c r="C60" s="3"/>
      <c r="D60" s="38"/>
      <c r="E60" s="3"/>
      <c r="F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</row>
    <row r="61" spans="1:62" x14ac:dyDescent="0.2">
      <c r="A61" s="23" t="s">
        <v>71</v>
      </c>
      <c r="B61" s="23"/>
      <c r="C61" s="39">
        <f>SUM(C41:C60)</f>
        <v>-61191.440000000031</v>
      </c>
      <c r="D61" s="32"/>
      <c r="E61" s="23" t="s">
        <v>71</v>
      </c>
      <c r="F61" s="39">
        <f>SUM(F41:F60)</f>
        <v>-57176.270000000033</v>
      </c>
      <c r="H61" s="23" t="s">
        <v>71</v>
      </c>
      <c r="I61" s="26">
        <f t="shared" ref="I61:AG61" si="86">SUM(I41:I60)</f>
        <v>-107642.66659090914</v>
      </c>
      <c r="J61" s="26">
        <f t="shared" si="86"/>
        <v>-138676.38657954551</v>
      </c>
      <c r="K61" s="26">
        <f t="shared" si="86"/>
        <v>-149936.26973409095</v>
      </c>
      <c r="L61" s="26">
        <f t="shared" si="86"/>
        <v>-150636.29864200289</v>
      </c>
      <c r="M61" s="26">
        <f t="shared" si="86"/>
        <v>-155566.79717641589</v>
      </c>
      <c r="N61" s="26">
        <f t="shared" si="86"/>
        <v>-230322.45978102554</v>
      </c>
      <c r="O61" s="26">
        <f t="shared" si="86"/>
        <v>-273681.66015786317</v>
      </c>
      <c r="P61" s="26">
        <f t="shared" si="86"/>
        <v>-330458.74535677023</v>
      </c>
      <c r="Q61" s="26">
        <f t="shared" si="86"/>
        <v>-334702.61713134183</v>
      </c>
      <c r="R61" s="26">
        <f t="shared" si="86"/>
        <v>-363229.64551074762</v>
      </c>
      <c r="S61" s="26">
        <f t="shared" si="86"/>
        <v>-373119.74385994521</v>
      </c>
      <c r="T61" s="26">
        <f t="shared" si="86"/>
        <v>-412705.92701852426</v>
      </c>
      <c r="U61" s="26">
        <f t="shared" si="86"/>
        <v>-414321.49483593885</v>
      </c>
      <c r="V61" s="26">
        <f t="shared" si="86"/>
        <v>-440225.55201084877</v>
      </c>
      <c r="W61" s="26">
        <f t="shared" si="86"/>
        <v>-452487.07352254936</v>
      </c>
      <c r="X61" s="26">
        <f t="shared" si="86"/>
        <v>-490821.84937054681</v>
      </c>
      <c r="Y61" s="26">
        <f t="shared" si="86"/>
        <v>-506624.23026010743</v>
      </c>
      <c r="Z61" s="26">
        <f t="shared" si="86"/>
        <v>-548385.27022666356</v>
      </c>
      <c r="AA61" s="26">
        <f t="shared" si="86"/>
        <v>-580087.62128035421</v>
      </c>
      <c r="AB61" s="26">
        <f t="shared" si="86"/>
        <v>-639284.01336155273</v>
      </c>
      <c r="AC61" s="26">
        <f t="shared" si="86"/>
        <v>-681895.54043362255</v>
      </c>
      <c r="AD61" s="26">
        <f t="shared" si="86"/>
        <v>-753527.06279966072</v>
      </c>
      <c r="AE61" s="26">
        <f t="shared" si="86"/>
        <v>-810323.69294709188</v>
      </c>
      <c r="AF61" s="26">
        <f t="shared" si="86"/>
        <v>-898147.68491316156</v>
      </c>
      <c r="AG61" s="26">
        <f t="shared" si="86"/>
        <v>-973439.91543667356</v>
      </c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</row>
    <row r="62" spans="1:62" x14ac:dyDescent="0.2">
      <c r="A62" s="23"/>
      <c r="B62" s="23"/>
      <c r="C62" s="39"/>
      <c r="D62" s="32"/>
      <c r="E62" s="23"/>
      <c r="F62" s="39"/>
      <c r="H62" s="23"/>
      <c r="I62" s="79">
        <f t="shared" ref="I62:AG62" si="87">(I27+I61)/I27</f>
        <v>-6.8001932312252995</v>
      </c>
      <c r="J62" s="79">
        <f t="shared" si="87"/>
        <v>-4.8353202852743742</v>
      </c>
      <c r="K62" s="79">
        <f t="shared" si="87"/>
        <v>-2.4558483164813989</v>
      </c>
      <c r="L62" s="79">
        <f t="shared" si="87"/>
        <v>-1.8358125958934228</v>
      </c>
      <c r="M62" s="79">
        <f t="shared" si="87"/>
        <v>-1.4073406211102168</v>
      </c>
      <c r="N62" s="79">
        <f t="shared" si="87"/>
        <v>-1.9694190531834059</v>
      </c>
      <c r="O62" s="79">
        <f t="shared" si="87"/>
        <v>-1.9399545498020445</v>
      </c>
      <c r="P62" s="79">
        <f t="shared" si="87"/>
        <v>-1.9605252048364894</v>
      </c>
      <c r="Q62" s="79">
        <f t="shared" si="87"/>
        <v>-1.502128729488502</v>
      </c>
      <c r="R62" s="79">
        <f t="shared" si="87"/>
        <v>-1.223176691092924</v>
      </c>
      <c r="S62" s="79">
        <f t="shared" si="87"/>
        <v>-0.84429751965055422</v>
      </c>
      <c r="T62" s="79">
        <f t="shared" si="87"/>
        <v>-0.59994386593627913</v>
      </c>
      <c r="U62" s="79">
        <f t="shared" si="87"/>
        <v>-0.29877035531083401</v>
      </c>
      <c r="V62" s="79">
        <f t="shared" si="87"/>
        <v>-0.13474301974301819</v>
      </c>
      <c r="W62" s="79">
        <f t="shared" si="87"/>
        <v>3.0279113862402725E-2</v>
      </c>
      <c r="X62" s="79">
        <f t="shared" si="87"/>
        <v>0.11771913860950557</v>
      </c>
      <c r="Y62" s="79">
        <f t="shared" si="87"/>
        <v>0.23014015345960229</v>
      </c>
      <c r="Z62" s="79">
        <f t="shared" si="87"/>
        <v>0.2917285923721708</v>
      </c>
      <c r="AA62" s="79">
        <f t="shared" si="87"/>
        <v>0.36048358010127757</v>
      </c>
      <c r="AB62" s="79">
        <f t="shared" si="87"/>
        <v>0.39636135361022329</v>
      </c>
      <c r="AC62" s="79">
        <f t="shared" si="87"/>
        <v>0.44701201085536979</v>
      </c>
      <c r="AD62" s="79">
        <f t="shared" si="87"/>
        <v>0.47401662538674111</v>
      </c>
      <c r="AE62" s="79">
        <f t="shared" si="87"/>
        <v>0.51226247488487175</v>
      </c>
      <c r="AF62" s="79">
        <f t="shared" si="87"/>
        <v>0.53316434498168097</v>
      </c>
      <c r="AG62" s="79">
        <f t="shared" si="87"/>
        <v>0.56254673622237628</v>
      </c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</row>
    <row r="63" spans="1:62" hidden="1" x14ac:dyDescent="0.2">
      <c r="A63" s="23"/>
      <c r="B63" s="23"/>
      <c r="C63" s="39"/>
      <c r="D63" s="32"/>
      <c r="E63" s="23"/>
      <c r="F63" s="39"/>
      <c r="H63" s="23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</row>
    <row r="64" spans="1:62" hidden="1" x14ac:dyDescent="0.2">
      <c r="A64" s="23"/>
      <c r="B64" s="23"/>
      <c r="C64" s="39"/>
      <c r="D64" s="32"/>
      <c r="E64" s="23"/>
      <c r="F64" s="39"/>
      <c r="H64" s="23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</row>
    <row r="65" spans="1:62" hidden="1" x14ac:dyDescent="0.2">
      <c r="A65" s="23"/>
      <c r="B65" s="23"/>
      <c r="C65" s="39"/>
      <c r="D65" s="32"/>
      <c r="E65" s="23"/>
      <c r="F65" s="39"/>
      <c r="H65" s="75" t="s">
        <v>116</v>
      </c>
      <c r="I65" s="76">
        <v>2</v>
      </c>
      <c r="J65" s="1">
        <v>1.0249999999999999</v>
      </c>
      <c r="K65" s="1">
        <v>1.0249999999999999</v>
      </c>
      <c r="L65" s="1">
        <v>1.0249999999999999</v>
      </c>
      <c r="M65" s="1">
        <v>1.0249999999999999</v>
      </c>
      <c r="N65" s="1">
        <v>1.0249999999999999</v>
      </c>
      <c r="O65" s="1">
        <v>1.0249999999999999</v>
      </c>
      <c r="P65" s="1">
        <v>1.0249999999999999</v>
      </c>
      <c r="Q65" s="1">
        <v>1.0249999999999999</v>
      </c>
      <c r="R65" s="1">
        <v>1.0249999999999999</v>
      </c>
      <c r="S65" s="1">
        <v>1.0249999999999999</v>
      </c>
      <c r="T65" s="1">
        <v>1.0249999999999999</v>
      </c>
      <c r="U65" s="1">
        <v>1.0249999999999999</v>
      </c>
      <c r="V65" s="1">
        <v>1.0249999999999999</v>
      </c>
      <c r="W65" s="1">
        <v>1.0249999999999999</v>
      </c>
      <c r="X65" s="1">
        <v>1.0249999999999999</v>
      </c>
      <c r="Y65" s="1">
        <v>1.0249999999999999</v>
      </c>
      <c r="Z65" s="1">
        <v>1.0249999999999999</v>
      </c>
      <c r="AA65" s="1">
        <v>1.0249999999999999</v>
      </c>
      <c r="AB65" s="1">
        <v>1.0249999999999999</v>
      </c>
      <c r="AC65" s="1">
        <v>1.0249999999999999</v>
      </c>
      <c r="AD65" s="1">
        <v>1.0249999999999999</v>
      </c>
      <c r="AE65" s="1">
        <v>1.0249999999999999</v>
      </c>
      <c r="AF65" s="1">
        <v>1.0249999999999999</v>
      </c>
      <c r="AG65" s="1">
        <v>1.0249999999999999</v>
      </c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</row>
    <row r="66" spans="1:62" hidden="1" x14ac:dyDescent="0.2">
      <c r="A66" s="23"/>
      <c r="B66" s="23"/>
      <c r="C66" s="39"/>
      <c r="D66" s="32"/>
      <c r="E66" s="23"/>
      <c r="F66" s="39"/>
      <c r="H66" s="75" t="s">
        <v>115</v>
      </c>
      <c r="I66" s="76">
        <v>1</v>
      </c>
      <c r="J66" s="1">
        <v>1.0249999999999999</v>
      </c>
      <c r="K66" s="1">
        <v>1.0249999999999999</v>
      </c>
      <c r="L66" s="1">
        <v>1.0249999999999999</v>
      </c>
      <c r="M66" s="1">
        <v>1.0249999999999999</v>
      </c>
      <c r="N66" s="1">
        <v>1.0249999999999999</v>
      </c>
      <c r="O66" s="1">
        <v>1.0249999999999999</v>
      </c>
      <c r="P66" s="1">
        <v>1.0249999999999999</v>
      </c>
      <c r="Q66" s="1">
        <v>1.0249999999999999</v>
      </c>
      <c r="R66" s="1">
        <v>1.0249999999999999</v>
      </c>
      <c r="S66" s="1">
        <v>1.0249999999999999</v>
      </c>
      <c r="T66" s="1">
        <v>1.0249999999999999</v>
      </c>
      <c r="U66" s="1">
        <v>1.0249999999999999</v>
      </c>
      <c r="V66" s="1">
        <v>1.0249999999999999</v>
      </c>
      <c r="W66" s="1">
        <v>1.0249999999999999</v>
      </c>
      <c r="X66" s="1">
        <v>1.0249999999999999</v>
      </c>
      <c r="Y66" s="1">
        <v>1.0249999999999999</v>
      </c>
      <c r="Z66" s="1">
        <v>1.0249999999999999</v>
      </c>
      <c r="AA66" s="1">
        <v>1.0249999999999999</v>
      </c>
      <c r="AB66" s="1">
        <v>1.0249999999999999</v>
      </c>
      <c r="AC66" s="1">
        <v>1.0249999999999999</v>
      </c>
      <c r="AD66" s="1">
        <v>1.0249999999999999</v>
      </c>
      <c r="AE66" s="1">
        <v>1.0249999999999999</v>
      </c>
      <c r="AF66" s="1">
        <v>1.0249999999999999</v>
      </c>
      <c r="AG66" s="1">
        <v>1.0249999999999999</v>
      </c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</row>
    <row r="67" spans="1:62" hidden="1" x14ac:dyDescent="0.2">
      <c r="A67" s="23"/>
      <c r="B67" s="23"/>
      <c r="C67" s="39"/>
      <c r="D67" s="32"/>
      <c r="E67" s="23"/>
      <c r="F67" s="39"/>
      <c r="H67" s="75" t="s">
        <v>114</v>
      </c>
      <c r="I67" s="76">
        <v>1</v>
      </c>
      <c r="J67" s="1">
        <v>1.0249999999999999</v>
      </c>
      <c r="K67" s="1">
        <v>1.0249999999999999</v>
      </c>
      <c r="L67" s="1">
        <v>1.0249999999999999</v>
      </c>
      <c r="M67" s="1">
        <v>1.0249999999999999</v>
      </c>
      <c r="N67" s="1">
        <v>1.0249999999999999</v>
      </c>
      <c r="O67" s="1">
        <v>1.0249999999999999</v>
      </c>
      <c r="P67" s="1">
        <v>1.0249999999999999</v>
      </c>
      <c r="Q67" s="1">
        <v>1.0249999999999999</v>
      </c>
      <c r="R67" s="1">
        <v>1.0249999999999999</v>
      </c>
      <c r="S67" s="1">
        <v>1.0249999999999999</v>
      </c>
      <c r="T67" s="1">
        <v>1.0249999999999999</v>
      </c>
      <c r="U67" s="1">
        <v>1.0249999999999999</v>
      </c>
      <c r="V67" s="1">
        <v>1.0249999999999999</v>
      </c>
      <c r="W67" s="1">
        <v>1.0249999999999999</v>
      </c>
      <c r="X67" s="1">
        <v>1.0249999999999999</v>
      </c>
      <c r="Y67" s="1">
        <v>1.0249999999999999</v>
      </c>
      <c r="Z67" s="1">
        <v>1.0249999999999999</v>
      </c>
      <c r="AA67" s="1">
        <v>1.0249999999999999</v>
      </c>
      <c r="AB67" s="1">
        <v>1.0249999999999999</v>
      </c>
      <c r="AC67" s="1">
        <v>1.0249999999999999</v>
      </c>
      <c r="AD67" s="1">
        <v>1.0249999999999999</v>
      </c>
      <c r="AE67" s="1">
        <v>1.0249999999999999</v>
      </c>
      <c r="AF67" s="1">
        <v>1.0249999999999999</v>
      </c>
      <c r="AG67" s="1">
        <v>1.0249999999999999</v>
      </c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</row>
    <row r="68" spans="1:62" hidden="1" x14ac:dyDescent="0.2">
      <c r="A68" s="23"/>
      <c r="B68" s="23"/>
      <c r="C68" s="39"/>
      <c r="D68" s="32"/>
      <c r="E68" s="23"/>
      <c r="F68" s="39"/>
      <c r="H68" s="75" t="s">
        <v>113</v>
      </c>
      <c r="I68" s="76">
        <v>2</v>
      </c>
      <c r="J68" s="1">
        <f t="shared" ref="J68:AG68" si="88">J1</f>
        <v>1</v>
      </c>
      <c r="K68" s="1">
        <f t="shared" si="88"/>
        <v>1.5</v>
      </c>
      <c r="L68" s="1">
        <f t="shared" si="88"/>
        <v>1.1000000000000001</v>
      </c>
      <c r="M68" s="1">
        <f t="shared" si="88"/>
        <v>1.1499999999999999</v>
      </c>
      <c r="N68" s="1">
        <f t="shared" si="88"/>
        <v>1.1499999999999999</v>
      </c>
      <c r="O68" s="1">
        <f t="shared" si="88"/>
        <v>1.2</v>
      </c>
      <c r="P68" s="1">
        <f t="shared" si="88"/>
        <v>1.2</v>
      </c>
      <c r="Q68" s="1">
        <f t="shared" si="88"/>
        <v>1.2</v>
      </c>
      <c r="R68" s="1">
        <f t="shared" si="88"/>
        <v>1.3</v>
      </c>
      <c r="S68" s="1">
        <f t="shared" si="88"/>
        <v>1.3</v>
      </c>
      <c r="T68" s="1">
        <f t="shared" si="88"/>
        <v>1.3</v>
      </c>
      <c r="U68" s="1">
        <f t="shared" si="88"/>
        <v>1.1499999999999999</v>
      </c>
      <c r="V68" s="1">
        <f t="shared" si="88"/>
        <v>1.1499999999999999</v>
      </c>
      <c r="W68" s="1">
        <f t="shared" si="88"/>
        <v>1.2</v>
      </c>
      <c r="X68" s="1">
        <f t="shared" si="88"/>
        <v>1.2</v>
      </c>
      <c r="Y68" s="1">
        <f t="shared" si="88"/>
        <v>1.1499999999999999</v>
      </c>
      <c r="Z68" s="1">
        <f t="shared" si="88"/>
        <v>1.1499999999999999</v>
      </c>
      <c r="AA68" s="1">
        <f t="shared" si="88"/>
        <v>1.1499999999999999</v>
      </c>
      <c r="AB68" s="1">
        <f t="shared" si="88"/>
        <v>1.1499999999999999</v>
      </c>
      <c r="AC68" s="1">
        <f t="shared" si="88"/>
        <v>1.1499999999999999</v>
      </c>
      <c r="AD68" s="1">
        <f t="shared" si="88"/>
        <v>1.1499999999999999</v>
      </c>
      <c r="AE68" s="1">
        <f t="shared" si="88"/>
        <v>1.1499999999999999</v>
      </c>
      <c r="AF68" s="1">
        <f t="shared" si="88"/>
        <v>1.1499999999999999</v>
      </c>
      <c r="AG68" s="1">
        <f t="shared" si="88"/>
        <v>1.1499999999999999</v>
      </c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</row>
    <row r="69" spans="1:62" hidden="1" x14ac:dyDescent="0.2">
      <c r="A69" s="23"/>
      <c r="B69" s="23"/>
      <c r="C69" s="39"/>
      <c r="D69" s="32"/>
      <c r="E69" s="23"/>
      <c r="F69" s="39"/>
      <c r="H69" s="75" t="s">
        <v>111</v>
      </c>
      <c r="I69" s="76">
        <v>1</v>
      </c>
      <c r="J69" s="1">
        <f t="shared" ref="J69:AG69" si="89">J1</f>
        <v>1</v>
      </c>
      <c r="K69" s="1">
        <f t="shared" si="89"/>
        <v>1.5</v>
      </c>
      <c r="L69" s="1">
        <f t="shared" si="89"/>
        <v>1.1000000000000001</v>
      </c>
      <c r="M69" s="1">
        <f t="shared" si="89"/>
        <v>1.1499999999999999</v>
      </c>
      <c r="N69" s="1">
        <f t="shared" si="89"/>
        <v>1.1499999999999999</v>
      </c>
      <c r="O69" s="1">
        <f t="shared" si="89"/>
        <v>1.2</v>
      </c>
      <c r="P69" s="1">
        <f t="shared" si="89"/>
        <v>1.2</v>
      </c>
      <c r="Q69" s="1">
        <f t="shared" si="89"/>
        <v>1.2</v>
      </c>
      <c r="R69" s="1">
        <f t="shared" si="89"/>
        <v>1.3</v>
      </c>
      <c r="S69" s="1">
        <f t="shared" si="89"/>
        <v>1.3</v>
      </c>
      <c r="T69" s="1">
        <f t="shared" si="89"/>
        <v>1.3</v>
      </c>
      <c r="U69" s="1">
        <f t="shared" si="89"/>
        <v>1.1499999999999999</v>
      </c>
      <c r="V69" s="1">
        <f t="shared" si="89"/>
        <v>1.1499999999999999</v>
      </c>
      <c r="W69" s="1">
        <f t="shared" si="89"/>
        <v>1.2</v>
      </c>
      <c r="X69" s="1">
        <f t="shared" si="89"/>
        <v>1.2</v>
      </c>
      <c r="Y69" s="1">
        <f t="shared" si="89"/>
        <v>1.1499999999999999</v>
      </c>
      <c r="Z69" s="1">
        <f t="shared" si="89"/>
        <v>1.1499999999999999</v>
      </c>
      <c r="AA69" s="1">
        <f t="shared" si="89"/>
        <v>1.1499999999999999</v>
      </c>
      <c r="AB69" s="1">
        <f t="shared" si="89"/>
        <v>1.1499999999999999</v>
      </c>
      <c r="AC69" s="1">
        <f t="shared" si="89"/>
        <v>1.1499999999999999</v>
      </c>
      <c r="AD69" s="1">
        <f t="shared" si="89"/>
        <v>1.1499999999999999</v>
      </c>
      <c r="AE69" s="1">
        <f t="shared" si="89"/>
        <v>1.1499999999999999</v>
      </c>
      <c r="AF69" s="1">
        <f t="shared" si="89"/>
        <v>1.1499999999999999</v>
      </c>
      <c r="AG69" s="1">
        <f t="shared" si="89"/>
        <v>1.1499999999999999</v>
      </c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</row>
    <row r="70" spans="1:62" hidden="1" x14ac:dyDescent="0.2">
      <c r="A70" s="23"/>
      <c r="B70" s="23"/>
      <c r="C70" s="39"/>
      <c r="D70" s="32"/>
      <c r="E70" s="23"/>
      <c r="F70" s="39"/>
      <c r="H70" s="75"/>
      <c r="I70" s="7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</row>
    <row r="71" spans="1:62" hidden="1" x14ac:dyDescent="0.2">
      <c r="A71" s="23"/>
      <c r="B71" s="23"/>
      <c r="C71" s="39"/>
      <c r="D71" s="32"/>
      <c r="E71" s="23"/>
      <c r="F71" s="39"/>
      <c r="H71" s="23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</row>
    <row r="72" spans="1:62" hidden="1" x14ac:dyDescent="0.2">
      <c r="A72" s="17"/>
      <c r="B72" s="17"/>
      <c r="C72" s="26"/>
      <c r="D72" s="32"/>
      <c r="E72" s="17"/>
      <c r="F72" s="26"/>
      <c r="H72" s="17" t="s">
        <v>61</v>
      </c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1</v>
      </c>
      <c r="R72" s="1">
        <v>1</v>
      </c>
      <c r="S72" s="1">
        <v>1</v>
      </c>
      <c r="T72" s="1">
        <v>1</v>
      </c>
      <c r="U72" s="1">
        <v>1</v>
      </c>
      <c r="V72" s="1">
        <v>1</v>
      </c>
      <c r="W72" s="1">
        <v>1</v>
      </c>
      <c r="X72" s="1">
        <v>1</v>
      </c>
      <c r="Y72" s="1">
        <v>1</v>
      </c>
      <c r="Z72" s="1">
        <v>1</v>
      </c>
      <c r="AA72" s="1">
        <v>1</v>
      </c>
      <c r="AB72" s="1">
        <v>1</v>
      </c>
      <c r="AC72" s="1">
        <v>1</v>
      </c>
      <c r="AD72" s="1">
        <v>1</v>
      </c>
      <c r="AE72" s="1">
        <v>1</v>
      </c>
      <c r="AF72" s="1">
        <v>1</v>
      </c>
      <c r="AG72" s="1">
        <v>1</v>
      </c>
    </row>
    <row r="73" spans="1:62" hidden="1" x14ac:dyDescent="0.2">
      <c r="C73" s="42"/>
      <c r="H73" s="17" t="s">
        <v>62</v>
      </c>
      <c r="I73" s="1">
        <v>1.25</v>
      </c>
      <c r="J73" s="1">
        <v>1.05</v>
      </c>
      <c r="K73" s="1">
        <v>1.05</v>
      </c>
      <c r="L73" s="1">
        <v>1.05</v>
      </c>
      <c r="M73" s="1">
        <v>1.1000000000000001</v>
      </c>
      <c r="N73" s="1">
        <v>1.1000000000000001</v>
      </c>
      <c r="O73" s="1">
        <v>1.1000000000000001</v>
      </c>
      <c r="P73" s="1">
        <v>1.1000000000000001</v>
      </c>
      <c r="Q73" s="1">
        <v>1.05</v>
      </c>
      <c r="R73" s="1">
        <v>1.05</v>
      </c>
      <c r="S73" s="1">
        <v>1.05</v>
      </c>
      <c r="T73" s="1">
        <v>1.05</v>
      </c>
      <c r="U73" s="1">
        <v>1</v>
      </c>
      <c r="V73" s="1">
        <v>1</v>
      </c>
      <c r="W73" s="1">
        <v>1.0249999999999999</v>
      </c>
      <c r="X73" s="1">
        <v>1.0249999999999999</v>
      </c>
      <c r="Y73" s="1">
        <v>1.0249999999999999</v>
      </c>
      <c r="Z73" s="1">
        <v>1.0249999999999999</v>
      </c>
      <c r="AA73" s="1">
        <v>1.0249999999999999</v>
      </c>
      <c r="AB73" s="1">
        <v>1.0249999999999999</v>
      </c>
      <c r="AC73" s="1">
        <v>1.0249999999999999</v>
      </c>
      <c r="AD73" s="1">
        <v>1.0249999999999999</v>
      </c>
      <c r="AE73" s="1">
        <v>1.0249999999999999</v>
      </c>
      <c r="AF73" s="1">
        <v>1.0249999999999999</v>
      </c>
      <c r="AG73" s="1">
        <v>1.0249999999999999</v>
      </c>
    </row>
    <row r="74" spans="1:62" hidden="1" x14ac:dyDescent="0.2">
      <c r="A74" s="74"/>
      <c r="C74" s="42"/>
      <c r="H74" s="17" t="s">
        <v>63</v>
      </c>
      <c r="I74" s="1">
        <v>1</v>
      </c>
      <c r="J74" s="1">
        <v>1.0249999999999999</v>
      </c>
      <c r="K74" s="1">
        <v>1.0249999999999999</v>
      </c>
      <c r="L74" s="1">
        <v>1.0249999999999999</v>
      </c>
      <c r="M74" s="1">
        <v>1.0249999999999999</v>
      </c>
      <c r="N74" s="1">
        <v>1.0249999999999999</v>
      </c>
      <c r="O74" s="1">
        <v>1.0249999999999999</v>
      </c>
      <c r="P74" s="1">
        <v>1.0249999999999999</v>
      </c>
      <c r="Q74" s="1">
        <v>1.0249999999999999</v>
      </c>
      <c r="R74" s="1">
        <v>1.0249999999999999</v>
      </c>
      <c r="S74" s="1">
        <v>1.0249999999999999</v>
      </c>
      <c r="T74" s="1">
        <v>1.0249999999999999</v>
      </c>
      <c r="U74" s="1">
        <v>1.0249999999999999</v>
      </c>
      <c r="V74" s="1">
        <v>1.0249999999999999</v>
      </c>
      <c r="W74" s="1">
        <v>1.0249999999999999</v>
      </c>
      <c r="X74" s="1">
        <v>1.0249999999999999</v>
      </c>
      <c r="Y74" s="1">
        <v>1.0249999999999999</v>
      </c>
      <c r="Z74" s="1">
        <v>1.0249999999999999</v>
      </c>
      <c r="AA74" s="1">
        <v>1.0249999999999999</v>
      </c>
      <c r="AB74" s="1">
        <v>1.0249999999999999</v>
      </c>
      <c r="AC74" s="1">
        <v>1.0249999999999999</v>
      </c>
      <c r="AD74" s="1">
        <v>1.0249999999999999</v>
      </c>
      <c r="AE74" s="1">
        <v>1.0249999999999999</v>
      </c>
      <c r="AF74" s="1">
        <v>1.0249999999999999</v>
      </c>
      <c r="AG74" s="1">
        <v>1.0249999999999999</v>
      </c>
    </row>
    <row r="75" spans="1:62" hidden="1" x14ac:dyDescent="0.2">
      <c r="A75" s="74"/>
      <c r="C75" s="42"/>
      <c r="H75" s="17" t="s">
        <v>54</v>
      </c>
      <c r="I75" s="1">
        <v>1</v>
      </c>
      <c r="J75" s="1">
        <v>1.0249999999999999</v>
      </c>
      <c r="K75" s="1">
        <v>1.0249999999999999</v>
      </c>
      <c r="L75" s="1">
        <v>1.0249999999999999</v>
      </c>
      <c r="M75" s="1">
        <v>1.0249999999999999</v>
      </c>
      <c r="N75" s="1">
        <v>1.0249999999999999</v>
      </c>
      <c r="O75" s="1">
        <v>1.0249999999999999</v>
      </c>
      <c r="P75" s="1">
        <v>1.0249999999999999</v>
      </c>
      <c r="Q75" s="1">
        <v>1.0249999999999999</v>
      </c>
      <c r="R75" s="1">
        <v>1.0249999999999999</v>
      </c>
      <c r="S75" s="1">
        <v>1.0249999999999999</v>
      </c>
      <c r="T75" s="1">
        <v>1.0249999999999999</v>
      </c>
      <c r="U75" s="1">
        <v>1.0249999999999999</v>
      </c>
      <c r="V75" s="1">
        <v>1.0249999999999999</v>
      </c>
      <c r="W75" s="1">
        <v>1.0249999999999999</v>
      </c>
      <c r="X75" s="1">
        <v>1.0249999999999999</v>
      </c>
      <c r="Y75" s="1">
        <v>1.0249999999999999</v>
      </c>
      <c r="Z75" s="1">
        <v>1.0249999999999999</v>
      </c>
      <c r="AA75" s="1">
        <v>1.0249999999999999</v>
      </c>
      <c r="AB75" s="1">
        <v>1.0249999999999999</v>
      </c>
      <c r="AC75" s="1">
        <v>1.0249999999999999</v>
      </c>
      <c r="AD75" s="1">
        <v>1.0249999999999999</v>
      </c>
      <c r="AE75" s="1">
        <v>1.0249999999999999</v>
      </c>
      <c r="AF75" s="1">
        <v>1.0249999999999999</v>
      </c>
      <c r="AG75" s="1">
        <v>1.0249999999999999</v>
      </c>
    </row>
    <row r="76" spans="1:62" hidden="1" x14ac:dyDescent="0.2">
      <c r="A76" s="74"/>
      <c r="C76" s="42"/>
      <c r="H76" s="17" t="s">
        <v>55</v>
      </c>
      <c r="I76" s="1">
        <v>1</v>
      </c>
      <c r="J76" s="1">
        <v>1.0249999999999999</v>
      </c>
      <c r="K76" s="1">
        <v>1.0249999999999999</v>
      </c>
      <c r="L76" s="1">
        <v>1.0249999999999999</v>
      </c>
      <c r="M76" s="1">
        <v>1.0249999999999999</v>
      </c>
      <c r="N76" s="1">
        <v>1.0249999999999999</v>
      </c>
      <c r="O76" s="1">
        <v>1.0249999999999999</v>
      </c>
      <c r="P76" s="1">
        <v>1.0249999999999999</v>
      </c>
      <c r="Q76" s="1">
        <v>1.0249999999999999</v>
      </c>
      <c r="R76" s="1">
        <v>1.0249999999999999</v>
      </c>
      <c r="S76" s="1">
        <v>1.0249999999999999</v>
      </c>
      <c r="T76" s="1">
        <v>1.0249999999999999</v>
      </c>
      <c r="U76" s="1">
        <v>1.0249999999999999</v>
      </c>
      <c r="V76" s="1">
        <v>1.0249999999999999</v>
      </c>
      <c r="W76" s="1">
        <v>1.0249999999999999</v>
      </c>
      <c r="X76" s="1">
        <v>1.0249999999999999</v>
      </c>
      <c r="Y76" s="1">
        <v>1.0249999999999999</v>
      </c>
      <c r="Z76" s="1">
        <v>1.0249999999999999</v>
      </c>
      <c r="AA76" s="1">
        <v>1.0249999999999999</v>
      </c>
      <c r="AB76" s="1">
        <v>1.0249999999999999</v>
      </c>
      <c r="AC76" s="1">
        <v>1.0249999999999999</v>
      </c>
      <c r="AD76" s="1">
        <v>1.0249999999999999</v>
      </c>
      <c r="AE76" s="1">
        <v>1.0249999999999999</v>
      </c>
      <c r="AF76" s="1">
        <v>1.0249999999999999</v>
      </c>
      <c r="AG76" s="1">
        <v>1.0249999999999999</v>
      </c>
    </row>
    <row r="77" spans="1:62" hidden="1" x14ac:dyDescent="0.2">
      <c r="A77" s="74"/>
      <c r="C77" s="42"/>
      <c r="H77" s="17" t="s">
        <v>57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</row>
    <row r="78" spans="1:62" hidden="1" x14ac:dyDescent="0.2">
      <c r="A78" s="74"/>
      <c r="C78" s="42"/>
      <c r="H78" s="80" t="s">
        <v>56</v>
      </c>
      <c r="I78" s="81">
        <v>1</v>
      </c>
      <c r="J78" s="81">
        <f>J2</f>
        <v>2</v>
      </c>
      <c r="K78" s="81">
        <v>1</v>
      </c>
      <c r="L78" s="81">
        <v>1</v>
      </c>
      <c r="M78" s="81">
        <v>1</v>
      </c>
      <c r="N78" s="81">
        <v>2.2000000000000002</v>
      </c>
      <c r="O78" s="81">
        <f>O2</f>
        <v>1.2</v>
      </c>
      <c r="P78" s="81">
        <v>1.25</v>
      </c>
      <c r="Q78" s="81">
        <v>1</v>
      </c>
      <c r="R78" s="81">
        <v>1</v>
      </c>
      <c r="S78" s="81">
        <v>1</v>
      </c>
      <c r="T78" s="81">
        <v>1</v>
      </c>
      <c r="U78" s="81">
        <v>1</v>
      </c>
      <c r="V78" s="81">
        <v>1</v>
      </c>
      <c r="W78" s="81">
        <v>1</v>
      </c>
      <c r="X78" s="81">
        <v>1</v>
      </c>
      <c r="Y78" s="81">
        <v>1</v>
      </c>
      <c r="Z78" s="81">
        <v>1</v>
      </c>
      <c r="AA78" s="81">
        <v>1.05</v>
      </c>
      <c r="AB78" s="81">
        <v>1.05</v>
      </c>
      <c r="AC78" s="81">
        <v>1.05</v>
      </c>
      <c r="AD78" s="81">
        <v>1.05</v>
      </c>
      <c r="AE78" s="81">
        <v>1.05</v>
      </c>
      <c r="AF78" s="81">
        <v>1.05</v>
      </c>
      <c r="AG78" s="81">
        <v>1.05</v>
      </c>
    </row>
    <row r="79" spans="1:62" hidden="1" x14ac:dyDescent="0.2">
      <c r="A79" s="74"/>
      <c r="C79" s="42"/>
      <c r="H79" s="17"/>
    </row>
    <row r="80" spans="1:62" hidden="1" x14ac:dyDescent="0.2">
      <c r="A80" s="74"/>
      <c r="C80" s="42"/>
      <c r="H80" s="17"/>
    </row>
    <row r="81" spans="1:33" hidden="1" x14ac:dyDescent="0.2">
      <c r="A81" s="74"/>
      <c r="C81" s="42"/>
      <c r="H81" s="17" t="s">
        <v>58</v>
      </c>
      <c r="I81" s="1">
        <v>1</v>
      </c>
      <c r="J81" s="1">
        <v>1</v>
      </c>
      <c r="K81" s="1">
        <v>1</v>
      </c>
      <c r="L81" s="1">
        <v>1</v>
      </c>
      <c r="M81" s="1">
        <v>1</v>
      </c>
      <c r="N81" s="1">
        <v>1.5</v>
      </c>
      <c r="O81" s="1">
        <v>1.2</v>
      </c>
      <c r="P81" s="1">
        <v>1.2</v>
      </c>
      <c r="Q81" s="1">
        <v>1.2</v>
      </c>
      <c r="R81" s="1">
        <v>1.2</v>
      </c>
      <c r="S81" s="1">
        <v>1</v>
      </c>
      <c r="T81" s="1">
        <v>1</v>
      </c>
      <c r="U81" s="1">
        <v>1</v>
      </c>
      <c r="V81" s="1">
        <v>1</v>
      </c>
      <c r="W81" s="1">
        <v>1</v>
      </c>
      <c r="X81" s="1">
        <v>1</v>
      </c>
      <c r="Y81" s="1">
        <v>1</v>
      </c>
      <c r="Z81" s="1">
        <v>1</v>
      </c>
      <c r="AA81" s="1">
        <v>1</v>
      </c>
      <c r="AB81" s="1">
        <v>1</v>
      </c>
      <c r="AC81" s="1">
        <v>1</v>
      </c>
      <c r="AD81" s="1">
        <v>1</v>
      </c>
      <c r="AE81" s="1">
        <v>1</v>
      </c>
      <c r="AF81" s="1">
        <v>1</v>
      </c>
      <c r="AG81" s="1">
        <v>1</v>
      </c>
    </row>
    <row r="82" spans="1:33" hidden="1" x14ac:dyDescent="0.2">
      <c r="A82" s="74"/>
      <c r="C82" s="25"/>
      <c r="H82" s="17" t="s">
        <v>64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5">
        <v>3</v>
      </c>
      <c r="O82" s="5">
        <f>(SUM(O42,O50,O51,O52)*0.06)-6000</f>
        <v>-13303.198439592848</v>
      </c>
      <c r="P82" s="5">
        <f>(SUM(P42,P50,P51,P52)*0.06)-6000</f>
        <v>-14142.069083552135</v>
      </c>
      <c r="Q82" s="5">
        <f>(SUM(Q42,Q50,Q51,Q52)*0.06)-6000</f>
        <v>-14744.56397772974</v>
      </c>
      <c r="R82" s="5">
        <f>(SUM(R42,R50,R51,R52)*0.06)-6000</f>
        <v>-15572.57505661623</v>
      </c>
      <c r="S82" s="5">
        <f>R82</f>
        <v>-15572.57505661623</v>
      </c>
      <c r="T82" s="5">
        <f>S82</f>
        <v>-15572.57505661623</v>
      </c>
      <c r="U82" s="5">
        <f t="shared" ref="U82:AG82" si="90">T82</f>
        <v>-15572.57505661623</v>
      </c>
      <c r="V82" s="5">
        <f t="shared" si="90"/>
        <v>-15572.57505661623</v>
      </c>
      <c r="W82" s="5">
        <f t="shared" si="90"/>
        <v>-15572.57505661623</v>
      </c>
      <c r="X82" s="5">
        <f t="shared" si="90"/>
        <v>-15572.57505661623</v>
      </c>
      <c r="Y82" s="5">
        <f t="shared" si="90"/>
        <v>-15572.57505661623</v>
      </c>
      <c r="Z82" s="5">
        <f t="shared" si="90"/>
        <v>-15572.57505661623</v>
      </c>
      <c r="AA82" s="5">
        <f t="shared" si="90"/>
        <v>-15572.57505661623</v>
      </c>
      <c r="AB82" s="5">
        <f t="shared" si="90"/>
        <v>-15572.57505661623</v>
      </c>
      <c r="AC82" s="5">
        <f t="shared" si="90"/>
        <v>-15572.57505661623</v>
      </c>
      <c r="AD82" s="5">
        <f t="shared" si="90"/>
        <v>-15572.57505661623</v>
      </c>
      <c r="AE82" s="5">
        <f t="shared" si="90"/>
        <v>-15572.57505661623</v>
      </c>
      <c r="AF82" s="5">
        <f t="shared" si="90"/>
        <v>-15572.57505661623</v>
      </c>
      <c r="AG82" s="5">
        <f t="shared" si="90"/>
        <v>-15572.57505661623</v>
      </c>
    </row>
    <row r="83" spans="1:33" ht="16" hidden="1" x14ac:dyDescent="0.2">
      <c r="A83" s="74"/>
      <c r="C83" s="68"/>
      <c r="H83" s="17" t="s">
        <v>65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</row>
    <row r="84" spans="1:33" hidden="1" x14ac:dyDescent="0.2">
      <c r="A84" s="74"/>
      <c r="C84" s="25"/>
      <c r="H84" s="17" t="s">
        <v>63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</row>
    <row r="85" spans="1:33" hidden="1" x14ac:dyDescent="0.2">
      <c r="A85" s="74"/>
      <c r="C85" s="25"/>
      <c r="H85" s="17" t="s">
        <v>66</v>
      </c>
      <c r="I85" s="1">
        <v>2</v>
      </c>
      <c r="J85" s="1">
        <v>1.05</v>
      </c>
      <c r="K85" s="1">
        <v>1.1000000000000001</v>
      </c>
      <c r="L85" s="1">
        <v>1.1000000000000001</v>
      </c>
      <c r="M85" s="1">
        <v>1.1000000000000001</v>
      </c>
      <c r="N85" s="1">
        <v>1.1000000000000001</v>
      </c>
      <c r="O85" s="1">
        <v>1.1000000000000001</v>
      </c>
      <c r="P85" s="1">
        <v>1.1000000000000001</v>
      </c>
      <c r="Q85" s="1">
        <v>1.1000000000000001</v>
      </c>
      <c r="R85" s="1">
        <v>1.1000000000000001</v>
      </c>
      <c r="S85" s="1">
        <v>1.1000000000000001</v>
      </c>
      <c r="T85" s="1">
        <v>1.1000000000000001</v>
      </c>
      <c r="U85" s="1">
        <v>1.0249999999999999</v>
      </c>
      <c r="V85" s="1">
        <v>1.0249999999999999</v>
      </c>
      <c r="W85" s="1">
        <v>1.0249999999999999</v>
      </c>
      <c r="X85" s="1">
        <v>1.0249999999999999</v>
      </c>
      <c r="Y85" s="1">
        <v>1.0249999999999999</v>
      </c>
      <c r="Z85" s="1">
        <v>1.0249999999999999</v>
      </c>
      <c r="AA85" s="1">
        <v>1.0249999999999999</v>
      </c>
      <c r="AB85" s="1">
        <v>1.0249999999999999</v>
      </c>
      <c r="AC85" s="1">
        <v>1.0249999999999999</v>
      </c>
      <c r="AD85" s="1">
        <v>1.0249999999999999</v>
      </c>
      <c r="AE85" s="1">
        <v>1.0249999999999999</v>
      </c>
      <c r="AF85" s="1">
        <v>1.0249999999999999</v>
      </c>
      <c r="AG85" s="1">
        <v>1.0249999999999999</v>
      </c>
    </row>
    <row r="86" spans="1:33" hidden="1" x14ac:dyDescent="0.2">
      <c r="A86" s="74"/>
      <c r="C86" s="25"/>
      <c r="H86" s="17" t="s">
        <v>67</v>
      </c>
    </row>
    <row r="87" spans="1:33" hidden="1" x14ac:dyDescent="0.2">
      <c r="A87" s="67"/>
      <c r="C87" s="25"/>
      <c r="H87" s="17" t="s">
        <v>68</v>
      </c>
    </row>
    <row r="88" spans="1:33" hidden="1" x14ac:dyDescent="0.2">
      <c r="A88" s="67"/>
      <c r="C88" s="25"/>
      <c r="H88" s="17" t="s">
        <v>69</v>
      </c>
      <c r="M88" s="1">
        <v>250</v>
      </c>
      <c r="N88" s="1">
        <v>1</v>
      </c>
      <c r="O88" s="1">
        <v>1</v>
      </c>
      <c r="P88" s="1">
        <v>1</v>
      </c>
      <c r="Q88" s="1">
        <v>1</v>
      </c>
      <c r="R88" s="1">
        <v>1</v>
      </c>
      <c r="S88" s="1">
        <v>1</v>
      </c>
      <c r="T88" s="1">
        <v>1</v>
      </c>
      <c r="U88" s="1">
        <v>1</v>
      </c>
      <c r="V88" s="1">
        <v>1</v>
      </c>
      <c r="W88" s="1">
        <v>1</v>
      </c>
      <c r="X88" s="1">
        <v>1</v>
      </c>
      <c r="Y88" s="1">
        <v>1</v>
      </c>
      <c r="Z88" s="1">
        <v>1</v>
      </c>
      <c r="AA88" s="1">
        <v>1</v>
      </c>
      <c r="AB88" s="1">
        <v>1</v>
      </c>
      <c r="AC88" s="1">
        <v>1</v>
      </c>
      <c r="AD88" s="1">
        <v>1</v>
      </c>
      <c r="AE88" s="1">
        <v>1</v>
      </c>
      <c r="AF88" s="1">
        <v>1</v>
      </c>
      <c r="AG88" s="1">
        <v>1</v>
      </c>
    </row>
    <row r="89" spans="1:33" hidden="1" x14ac:dyDescent="0.2">
      <c r="C89" s="25"/>
      <c r="H89" s="17" t="s">
        <v>70</v>
      </c>
      <c r="M89" s="1">
        <v>5000</v>
      </c>
      <c r="N89" s="1">
        <v>1</v>
      </c>
      <c r="O89" s="1">
        <v>1</v>
      </c>
      <c r="P89" s="1">
        <v>1</v>
      </c>
      <c r="Q89" s="1">
        <v>1</v>
      </c>
      <c r="R89" s="1">
        <v>1</v>
      </c>
      <c r="S89" s="1">
        <v>1</v>
      </c>
      <c r="T89" s="1">
        <v>1</v>
      </c>
      <c r="U89" s="1">
        <v>1</v>
      </c>
      <c r="V89" s="1">
        <v>1</v>
      </c>
      <c r="W89" s="1">
        <v>1</v>
      </c>
      <c r="X89" s="1">
        <v>1</v>
      </c>
      <c r="Y89" s="1">
        <v>1</v>
      </c>
      <c r="Z89" s="1">
        <v>1</v>
      </c>
      <c r="AA89" s="1">
        <v>1</v>
      </c>
      <c r="AB89" s="1">
        <v>1</v>
      </c>
      <c r="AC89" s="1">
        <v>1</v>
      </c>
      <c r="AD89" s="1">
        <v>1</v>
      </c>
      <c r="AE89" s="1">
        <v>1</v>
      </c>
      <c r="AF89" s="1">
        <v>1</v>
      </c>
      <c r="AG89" s="1">
        <v>1</v>
      </c>
    </row>
    <row r="90" spans="1:33" x14ac:dyDescent="0.2">
      <c r="C90" s="42"/>
    </row>
    <row r="91" spans="1:33" x14ac:dyDescent="0.2">
      <c r="C91" s="42"/>
      <c r="L91" s="42">
        <v>-60000</v>
      </c>
      <c r="M91" s="42">
        <v>-60000</v>
      </c>
      <c r="N91" s="42">
        <v>-115000</v>
      </c>
      <c r="O91" s="42">
        <v>-150000</v>
      </c>
      <c r="P91" s="42">
        <v>-200000</v>
      </c>
      <c r="Q91" s="42">
        <v>-200000</v>
      </c>
      <c r="R91" s="42">
        <v>-200000</v>
      </c>
      <c r="S91" s="42">
        <v>-200000</v>
      </c>
      <c r="T91" s="42">
        <v>-200000</v>
      </c>
      <c r="U91" s="42">
        <v>-200000</v>
      </c>
      <c r="V91" s="42">
        <v>-200000</v>
      </c>
      <c r="W91" s="42">
        <v>-200000</v>
      </c>
      <c r="X91" s="42">
        <v>-200000</v>
      </c>
      <c r="Y91" s="42">
        <v>-200000</v>
      </c>
    </row>
    <row r="92" spans="1:33" x14ac:dyDescent="0.2">
      <c r="C92" s="42"/>
    </row>
    <row r="93" spans="1:33" x14ac:dyDescent="0.2">
      <c r="C93" s="42"/>
      <c r="L93" s="5">
        <f>L61-L91</f>
        <v>-90636.29864200289</v>
      </c>
      <c r="M93" s="5">
        <f t="shared" ref="M93:Y93" si="91">M61-M91</f>
        <v>-95566.797176415886</v>
      </c>
      <c r="N93" s="5">
        <f t="shared" si="91"/>
        <v>-115322.45978102554</v>
      </c>
      <c r="O93" s="5">
        <f t="shared" si="91"/>
        <v>-123681.66015786317</v>
      </c>
      <c r="P93" s="5">
        <f t="shared" si="91"/>
        <v>-130458.74535677023</v>
      </c>
      <c r="Q93" s="5">
        <f t="shared" si="91"/>
        <v>-134702.61713134183</v>
      </c>
      <c r="R93" s="5">
        <f t="shared" si="91"/>
        <v>-163229.64551074762</v>
      </c>
      <c r="S93" s="5">
        <f t="shared" si="91"/>
        <v>-173119.74385994521</v>
      </c>
      <c r="T93" s="5">
        <f t="shared" si="91"/>
        <v>-212705.92701852426</v>
      </c>
      <c r="U93" s="5">
        <f t="shared" si="91"/>
        <v>-214321.49483593885</v>
      </c>
      <c r="V93" s="5">
        <f t="shared" si="91"/>
        <v>-240225.55201084877</v>
      </c>
      <c r="W93" s="5">
        <f t="shared" si="91"/>
        <v>-252487.07352254936</v>
      </c>
      <c r="X93" s="5">
        <f t="shared" si="91"/>
        <v>-290821.84937054681</v>
      </c>
      <c r="Y93" s="5">
        <f t="shared" si="91"/>
        <v>-306624.23026010743</v>
      </c>
    </row>
    <row r="94" spans="1:33" x14ac:dyDescent="0.2">
      <c r="C94" s="42"/>
    </row>
    <row r="95" spans="1:33" x14ac:dyDescent="0.2">
      <c r="C95" s="42"/>
    </row>
    <row r="96" spans="1:33" x14ac:dyDescent="0.2">
      <c r="C96" s="42"/>
    </row>
    <row r="97" spans="3:3" x14ac:dyDescent="0.2">
      <c r="C97" s="42"/>
    </row>
    <row r="98" spans="3:3" x14ac:dyDescent="0.2">
      <c r="C98" s="42"/>
    </row>
    <row r="99" spans="3:3" x14ac:dyDescent="0.2">
      <c r="C99" s="42"/>
    </row>
    <row r="100" spans="3:3" x14ac:dyDescent="0.2">
      <c r="C100" s="42"/>
    </row>
    <row r="101" spans="3:3" x14ac:dyDescent="0.2">
      <c r="C101" s="42"/>
    </row>
    <row r="102" spans="3:3" x14ac:dyDescent="0.2">
      <c r="C102" s="42"/>
    </row>
    <row r="103" spans="3:3" x14ac:dyDescent="0.2">
      <c r="C103" s="42"/>
    </row>
  </sheetData>
  <mergeCells count="2">
    <mergeCell ref="A14:C15"/>
    <mergeCell ref="E14:F15"/>
  </mergeCells>
  <phoneticPr fontId="8" type="noConversion"/>
  <conditionalFormatting sqref="I10:AG10">
    <cfRule type="cellIs" dxfId="3" priority="3" operator="between">
      <formula>-400000</formula>
      <formula>-525000</formula>
    </cfRule>
    <cfRule type="cellIs" dxfId="2" priority="4" operator="between">
      <formula>-450000</formula>
      <formula>-550000</formula>
    </cfRule>
  </conditionalFormatting>
  <conditionalFormatting sqref="J12:AG12 I13:AG13">
    <cfRule type="cellIs" dxfId="1" priority="2" operator="lessThan">
      <formula>0</formula>
    </cfRule>
  </conditionalFormatting>
  <conditionalFormatting sqref="J12:AG12">
    <cfRule type="cellIs" dxfId="0" priority="1" operator="lessThan">
      <formula>100000</formula>
    </cfRule>
  </conditionalFormatting>
  <pageMargins left="0.75" right="0.75" top="1" bottom="1" header="0.5" footer="0.5"/>
  <pageSetup orientation="portrait" horizontalDpi="0" verticalDpi="0"/>
  <ignoredErrors>
    <ignoredError sqref="AF57 J46" formula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82658-B769-6145-9821-733C5D95EC8C}">
  <dimension ref="A2:C20"/>
  <sheetViews>
    <sheetView workbookViewId="0">
      <selection activeCell="C17" sqref="C17"/>
    </sheetView>
  </sheetViews>
  <sheetFormatPr baseColWidth="10" defaultRowHeight="16" x14ac:dyDescent="0.2"/>
  <cols>
    <col min="1" max="1" width="16.5" bestFit="1" customWidth="1"/>
    <col min="2" max="2" width="17.5" bestFit="1" customWidth="1"/>
  </cols>
  <sheetData>
    <row r="2" spans="1:3" x14ac:dyDescent="0.2">
      <c r="B2" t="s">
        <v>150</v>
      </c>
      <c r="C2" t="s">
        <v>153</v>
      </c>
    </row>
    <row r="3" spans="1:3" x14ac:dyDescent="0.2">
      <c r="A3" s="63" t="s">
        <v>138</v>
      </c>
      <c r="B3" s="64">
        <v>5200</v>
      </c>
      <c r="C3" t="s">
        <v>152</v>
      </c>
    </row>
    <row r="4" spans="1:3" x14ac:dyDescent="0.2">
      <c r="A4" s="63" t="s">
        <v>139</v>
      </c>
      <c r="B4" s="64">
        <v>3000</v>
      </c>
      <c r="C4" t="s">
        <v>152</v>
      </c>
    </row>
    <row r="5" spans="1:3" x14ac:dyDescent="0.2">
      <c r="A5" s="63" t="s">
        <v>140</v>
      </c>
      <c r="B5" s="64">
        <v>7000.13</v>
      </c>
      <c r="C5" t="s">
        <v>152</v>
      </c>
    </row>
    <row r="6" spans="1:3" x14ac:dyDescent="0.2">
      <c r="A6" s="63" t="s">
        <v>141</v>
      </c>
      <c r="B6" s="64">
        <v>5200</v>
      </c>
      <c r="C6" t="s">
        <v>152</v>
      </c>
    </row>
    <row r="7" spans="1:3" x14ac:dyDescent="0.2">
      <c r="A7" s="63"/>
      <c r="B7" s="64"/>
    </row>
    <row r="8" spans="1:3" x14ac:dyDescent="0.2">
      <c r="A8" s="63"/>
      <c r="B8" s="64"/>
    </row>
    <row r="9" spans="1:3" x14ac:dyDescent="0.2">
      <c r="A9" s="63" t="s">
        <v>142</v>
      </c>
      <c r="B9" s="64">
        <v>10400</v>
      </c>
      <c r="C9" t="s">
        <v>154</v>
      </c>
    </row>
    <row r="10" spans="1:3" x14ac:dyDescent="0.2">
      <c r="A10" s="63" t="s">
        <v>143</v>
      </c>
      <c r="B10" s="64">
        <v>8666.67</v>
      </c>
      <c r="C10" t="s">
        <v>154</v>
      </c>
    </row>
    <row r="11" spans="1:3" x14ac:dyDescent="0.2">
      <c r="A11" s="63" t="s">
        <v>144</v>
      </c>
      <c r="B11" s="64">
        <v>3813.33</v>
      </c>
      <c r="C11" t="s">
        <v>154</v>
      </c>
    </row>
    <row r="12" spans="1:3" x14ac:dyDescent="0.2">
      <c r="A12" s="63" t="s">
        <v>151</v>
      </c>
      <c r="B12" s="64">
        <v>3466.67</v>
      </c>
      <c r="C12" t="s">
        <v>154</v>
      </c>
    </row>
    <row r="13" spans="1:3" x14ac:dyDescent="0.2">
      <c r="A13" s="63" t="s">
        <v>145</v>
      </c>
      <c r="B13" s="64">
        <v>1733.33</v>
      </c>
      <c r="C13" t="s">
        <v>154</v>
      </c>
    </row>
    <row r="14" spans="1:3" x14ac:dyDescent="0.2">
      <c r="A14" s="63" t="s">
        <v>146</v>
      </c>
      <c r="B14" s="64">
        <v>8666.67</v>
      </c>
      <c r="C14" t="s">
        <v>154</v>
      </c>
    </row>
    <row r="15" spans="1:3" x14ac:dyDescent="0.2">
      <c r="A15" s="63"/>
      <c r="B15" s="64"/>
    </row>
    <row r="16" spans="1:3" x14ac:dyDescent="0.2">
      <c r="A16" s="63"/>
      <c r="B16" s="64"/>
    </row>
    <row r="17" spans="1:2" x14ac:dyDescent="0.2">
      <c r="A17" s="63" t="s">
        <v>147</v>
      </c>
      <c r="B17" s="64">
        <v>2894.74</v>
      </c>
    </row>
    <row r="18" spans="1:2" x14ac:dyDescent="0.2">
      <c r="A18" s="63" t="s">
        <v>148</v>
      </c>
      <c r="B18" s="64">
        <v>2368.42</v>
      </c>
    </row>
    <row r="19" spans="1:2" x14ac:dyDescent="0.2">
      <c r="A19" s="63" t="s">
        <v>149</v>
      </c>
      <c r="B19" s="64">
        <v>4200</v>
      </c>
    </row>
    <row r="20" spans="1:2" x14ac:dyDescent="0.2">
      <c r="A20" s="63"/>
      <c r="B20" s="65">
        <f>SUM(B3:B19)</f>
        <v>66609.959999999992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BB165-5E8C-8244-BF17-8F76E883A29D}">
  <dimension ref="A1:W37"/>
  <sheetViews>
    <sheetView workbookViewId="0">
      <selection activeCell="Q57" sqref="Q57"/>
    </sheetView>
  </sheetViews>
  <sheetFormatPr baseColWidth="10" defaultRowHeight="16" x14ac:dyDescent="0.2"/>
  <cols>
    <col min="4" max="4" width="11.83203125" bestFit="1" customWidth="1"/>
    <col min="12" max="12" width="10.33203125" bestFit="1" customWidth="1"/>
    <col min="13" max="13" width="11.33203125" bestFit="1" customWidth="1"/>
    <col min="14" max="14" width="11.5" bestFit="1" customWidth="1"/>
    <col min="15" max="15" width="11.6640625" bestFit="1" customWidth="1"/>
    <col min="19" max="19" width="16.5" bestFit="1" customWidth="1"/>
  </cols>
  <sheetData>
    <row r="1" spans="1:23" x14ac:dyDescent="0.2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  <c r="I1" t="s">
        <v>164</v>
      </c>
      <c r="J1" t="s">
        <v>165</v>
      </c>
      <c r="K1" t="s">
        <v>166</v>
      </c>
      <c r="L1" t="s">
        <v>167</v>
      </c>
      <c r="M1" t="s">
        <v>168</v>
      </c>
      <c r="N1" t="s">
        <v>169</v>
      </c>
      <c r="O1" t="s">
        <v>170</v>
      </c>
      <c r="P1" t="s">
        <v>171</v>
      </c>
      <c r="Q1" t="s">
        <v>172</v>
      </c>
      <c r="R1" t="s">
        <v>173</v>
      </c>
      <c r="S1" t="s">
        <v>174</v>
      </c>
      <c r="T1" t="s">
        <v>175</v>
      </c>
    </row>
    <row r="2" spans="1:23" x14ac:dyDescent="0.2">
      <c r="A2">
        <v>1</v>
      </c>
      <c r="B2" t="s">
        <v>176</v>
      </c>
      <c r="C2" s="69">
        <v>22770</v>
      </c>
      <c r="D2" s="69">
        <v>273240</v>
      </c>
      <c r="E2" s="70">
        <v>0.15</v>
      </c>
      <c r="F2">
        <v>24</v>
      </c>
      <c r="G2">
        <v>2</v>
      </c>
      <c r="H2" s="70">
        <v>0.05</v>
      </c>
      <c r="I2" s="69">
        <v>949</v>
      </c>
      <c r="J2" s="69">
        <v>15115</v>
      </c>
      <c r="K2" s="69">
        <v>227700</v>
      </c>
      <c r="L2" t="s">
        <v>177</v>
      </c>
      <c r="M2" s="70">
        <v>0.6</v>
      </c>
      <c r="N2" s="69">
        <v>90594</v>
      </c>
      <c r="O2">
        <v>30.5</v>
      </c>
      <c r="P2">
        <v>75</v>
      </c>
      <c r="Q2" s="69">
        <v>9108</v>
      </c>
      <c r="R2" s="69">
        <v>113364</v>
      </c>
      <c r="S2" s="69">
        <v>1584</v>
      </c>
      <c r="T2" s="71">
        <v>1.03</v>
      </c>
      <c r="W2" s="73">
        <f>R2/O2</f>
        <v>3716.8524590163934</v>
      </c>
    </row>
    <row r="3" spans="1:23" x14ac:dyDescent="0.2">
      <c r="A3">
        <v>2</v>
      </c>
      <c r="B3" t="s">
        <v>176</v>
      </c>
      <c r="C3" s="69">
        <v>26185</v>
      </c>
      <c r="D3" s="69">
        <v>314226</v>
      </c>
      <c r="E3" s="70">
        <v>0.15</v>
      </c>
      <c r="F3">
        <v>27</v>
      </c>
      <c r="G3">
        <v>3</v>
      </c>
      <c r="H3" s="70">
        <v>0.05</v>
      </c>
      <c r="I3" s="69">
        <v>970</v>
      </c>
      <c r="J3" s="69">
        <v>15115</v>
      </c>
      <c r="K3" s="69">
        <v>232760</v>
      </c>
      <c r="L3" t="s">
        <v>178</v>
      </c>
      <c r="M3" s="70">
        <v>0.6</v>
      </c>
      <c r="N3" s="69">
        <v>87179</v>
      </c>
      <c r="O3">
        <v>25.52</v>
      </c>
      <c r="P3">
        <v>75</v>
      </c>
      <c r="Q3" s="69">
        <v>10474</v>
      </c>
      <c r="R3" s="69">
        <v>113364</v>
      </c>
      <c r="S3" s="69">
        <v>1822</v>
      </c>
      <c r="T3" s="71">
        <v>1.03</v>
      </c>
    </row>
    <row r="4" spans="1:23" x14ac:dyDescent="0.2">
      <c r="A4">
        <v>3</v>
      </c>
      <c r="B4" t="s">
        <v>176</v>
      </c>
      <c r="C4" s="69">
        <v>30113</v>
      </c>
      <c r="D4" s="69">
        <v>361360</v>
      </c>
      <c r="E4" s="70">
        <v>0.15</v>
      </c>
      <c r="F4">
        <v>31</v>
      </c>
      <c r="G4">
        <v>4</v>
      </c>
      <c r="H4" s="70">
        <v>0.05</v>
      </c>
      <c r="I4" s="69">
        <v>971</v>
      </c>
      <c r="J4" s="69">
        <v>11336</v>
      </c>
      <c r="K4" s="69">
        <v>233135</v>
      </c>
      <c r="L4" t="s">
        <v>179</v>
      </c>
      <c r="M4" s="70">
        <v>0.6</v>
      </c>
      <c r="N4" s="69">
        <v>83251</v>
      </c>
      <c r="O4">
        <v>21.2</v>
      </c>
      <c r="P4">
        <v>75</v>
      </c>
      <c r="Q4" s="69">
        <v>12045</v>
      </c>
      <c r="R4" s="69">
        <v>113364</v>
      </c>
      <c r="S4" s="69">
        <v>2095</v>
      </c>
      <c r="T4" s="71">
        <v>1.03</v>
      </c>
    </row>
    <row r="5" spans="1:23" x14ac:dyDescent="0.2">
      <c r="A5">
        <v>4</v>
      </c>
      <c r="B5" t="s">
        <v>176</v>
      </c>
      <c r="C5" s="69">
        <v>34630</v>
      </c>
      <c r="D5" s="69">
        <v>415564</v>
      </c>
      <c r="E5" s="70">
        <v>0.15</v>
      </c>
      <c r="F5">
        <v>35</v>
      </c>
      <c r="G5">
        <v>4</v>
      </c>
      <c r="H5" s="70">
        <v>0.05</v>
      </c>
      <c r="I5" s="69">
        <v>989</v>
      </c>
      <c r="J5" s="69">
        <v>11336</v>
      </c>
      <c r="K5" s="69">
        <v>237465</v>
      </c>
      <c r="L5" t="s">
        <v>180</v>
      </c>
      <c r="M5" s="70">
        <v>0.6</v>
      </c>
      <c r="N5" s="69">
        <v>78734</v>
      </c>
      <c r="O5">
        <v>17.43</v>
      </c>
      <c r="P5">
        <v>75</v>
      </c>
      <c r="Q5" s="69">
        <v>13852</v>
      </c>
      <c r="R5" s="69">
        <v>113364</v>
      </c>
      <c r="S5" s="69">
        <v>2409</v>
      </c>
      <c r="T5" s="71">
        <v>1.03</v>
      </c>
    </row>
    <row r="6" spans="1:23" x14ac:dyDescent="0.2">
      <c r="A6">
        <v>5</v>
      </c>
      <c r="B6" t="s">
        <v>176</v>
      </c>
      <c r="C6" s="69">
        <v>39825</v>
      </c>
      <c r="D6" s="69">
        <v>477898</v>
      </c>
      <c r="E6" s="70">
        <v>0.15</v>
      </c>
      <c r="F6">
        <v>40</v>
      </c>
      <c r="G6">
        <v>5</v>
      </c>
      <c r="H6" s="70">
        <v>0.05</v>
      </c>
      <c r="I6" s="69">
        <v>996</v>
      </c>
      <c r="J6" s="69">
        <v>9069</v>
      </c>
      <c r="K6" s="69">
        <v>238949</v>
      </c>
      <c r="L6" t="s">
        <v>181</v>
      </c>
      <c r="M6" s="70">
        <v>0.6</v>
      </c>
      <c r="N6" s="69">
        <v>73539</v>
      </c>
      <c r="O6">
        <v>14.16</v>
      </c>
      <c r="P6">
        <v>75</v>
      </c>
      <c r="Q6" s="69">
        <v>15930</v>
      </c>
      <c r="R6" s="69">
        <v>113364</v>
      </c>
      <c r="S6" s="69">
        <v>2770</v>
      </c>
      <c r="T6" s="71">
        <v>1.03</v>
      </c>
    </row>
    <row r="7" spans="1:23" x14ac:dyDescent="0.2">
      <c r="A7">
        <v>6</v>
      </c>
      <c r="B7" t="s">
        <v>176</v>
      </c>
      <c r="C7" s="69">
        <v>45799</v>
      </c>
      <c r="D7" s="69">
        <v>549583</v>
      </c>
      <c r="E7" s="70">
        <v>0.15</v>
      </c>
      <c r="F7">
        <v>46</v>
      </c>
      <c r="G7">
        <v>6</v>
      </c>
      <c r="H7" s="70">
        <v>0.05</v>
      </c>
      <c r="I7" s="69">
        <v>996</v>
      </c>
      <c r="J7" s="69">
        <v>7558</v>
      </c>
      <c r="K7" s="69">
        <v>238949</v>
      </c>
      <c r="L7" t="s">
        <v>182</v>
      </c>
      <c r="M7" s="70">
        <v>0.6</v>
      </c>
      <c r="N7" s="69">
        <v>67566</v>
      </c>
      <c r="O7">
        <v>11.31</v>
      </c>
      <c r="P7">
        <v>75</v>
      </c>
      <c r="Q7" s="69">
        <v>18319</v>
      </c>
      <c r="R7" s="69">
        <v>113364</v>
      </c>
      <c r="S7" s="69">
        <v>3186</v>
      </c>
      <c r="T7" s="71">
        <v>1.03</v>
      </c>
    </row>
    <row r="8" spans="1:23" x14ac:dyDescent="0.2">
      <c r="A8">
        <v>7</v>
      </c>
      <c r="B8" t="s">
        <v>176</v>
      </c>
      <c r="C8" s="69">
        <v>52668</v>
      </c>
      <c r="D8" s="69">
        <v>632021</v>
      </c>
      <c r="E8" s="70">
        <v>0.15</v>
      </c>
      <c r="F8">
        <v>52</v>
      </c>
      <c r="G8">
        <v>6</v>
      </c>
      <c r="H8" s="70">
        <v>0.05</v>
      </c>
      <c r="I8" s="69">
        <v>1013</v>
      </c>
      <c r="J8" s="69">
        <v>7558</v>
      </c>
      <c r="K8" s="69">
        <v>243085</v>
      </c>
      <c r="L8" t="s">
        <v>183</v>
      </c>
      <c r="M8" s="70">
        <v>0.6</v>
      </c>
      <c r="N8" s="69">
        <v>60696</v>
      </c>
      <c r="O8">
        <v>8.84</v>
      </c>
      <c r="P8">
        <v>75</v>
      </c>
      <c r="Q8" s="69">
        <v>21067</v>
      </c>
      <c r="R8" s="69">
        <v>113364</v>
      </c>
      <c r="S8" s="69">
        <v>3664</v>
      </c>
      <c r="T8" s="71">
        <v>1.03</v>
      </c>
    </row>
    <row r="9" spans="1:23" x14ac:dyDescent="0.2">
      <c r="A9">
        <v>8</v>
      </c>
      <c r="B9" t="s">
        <v>176</v>
      </c>
      <c r="C9" s="69">
        <v>60569</v>
      </c>
      <c r="D9" s="69">
        <v>726824</v>
      </c>
      <c r="E9" s="70">
        <v>0.15</v>
      </c>
      <c r="F9">
        <v>59</v>
      </c>
      <c r="G9">
        <v>7</v>
      </c>
      <c r="H9" s="70">
        <v>0.05</v>
      </c>
      <c r="I9" s="69">
        <v>1027</v>
      </c>
      <c r="J9" s="69">
        <v>6478</v>
      </c>
      <c r="K9" s="69">
        <v>246381</v>
      </c>
      <c r="L9" t="s">
        <v>184</v>
      </c>
      <c r="M9" s="70">
        <v>0.6</v>
      </c>
      <c r="N9" s="69">
        <v>52796</v>
      </c>
      <c r="O9">
        <v>6.68</v>
      </c>
      <c r="P9">
        <v>75</v>
      </c>
      <c r="Q9" s="69">
        <v>24227</v>
      </c>
      <c r="R9" s="69">
        <v>113364</v>
      </c>
      <c r="S9" s="69">
        <v>4213</v>
      </c>
      <c r="T9" s="71">
        <v>1.03</v>
      </c>
    </row>
    <row r="10" spans="1:23" x14ac:dyDescent="0.2">
      <c r="A10">
        <v>9</v>
      </c>
      <c r="B10" t="s">
        <v>176</v>
      </c>
      <c r="C10" s="69">
        <v>69654</v>
      </c>
      <c r="D10" s="69">
        <v>835847</v>
      </c>
      <c r="E10" s="70">
        <v>0.15</v>
      </c>
      <c r="F10">
        <v>67</v>
      </c>
      <c r="G10">
        <v>8</v>
      </c>
      <c r="H10" s="70">
        <v>0.05</v>
      </c>
      <c r="I10" s="69">
        <v>1040</v>
      </c>
      <c r="J10" s="69">
        <v>5668</v>
      </c>
      <c r="K10" s="69">
        <v>249507</v>
      </c>
      <c r="L10" t="s">
        <v>185</v>
      </c>
      <c r="M10" s="70">
        <v>0.6</v>
      </c>
      <c r="N10" s="69">
        <v>43710</v>
      </c>
      <c r="O10">
        <v>4.8099999999999996</v>
      </c>
      <c r="P10">
        <v>75</v>
      </c>
      <c r="Q10" s="69">
        <v>27862</v>
      </c>
      <c r="R10" s="69">
        <v>113364</v>
      </c>
      <c r="S10" s="69">
        <v>4845</v>
      </c>
      <c r="T10" s="71">
        <v>1.03</v>
      </c>
    </row>
    <row r="11" spans="1:23" x14ac:dyDescent="0.2">
      <c r="A11">
        <v>10</v>
      </c>
      <c r="B11" t="s">
        <v>176</v>
      </c>
      <c r="C11" s="69">
        <v>80102</v>
      </c>
      <c r="D11" s="69">
        <v>961225</v>
      </c>
      <c r="E11" s="70">
        <v>0.15</v>
      </c>
      <c r="F11">
        <v>77</v>
      </c>
      <c r="G11">
        <v>10</v>
      </c>
      <c r="H11" s="70">
        <v>0.05</v>
      </c>
      <c r="I11" s="69">
        <v>1040</v>
      </c>
      <c r="J11" s="69">
        <v>4535</v>
      </c>
      <c r="K11" s="69">
        <v>249669</v>
      </c>
      <c r="L11" t="s">
        <v>186</v>
      </c>
      <c r="M11" s="70">
        <v>0.6</v>
      </c>
      <c r="N11" s="69">
        <v>33262</v>
      </c>
      <c r="O11">
        <v>3.18</v>
      </c>
      <c r="P11">
        <v>75</v>
      </c>
      <c r="Q11" s="69">
        <v>32041</v>
      </c>
      <c r="R11" s="69">
        <v>113364</v>
      </c>
      <c r="S11" s="69">
        <v>5572</v>
      </c>
      <c r="T11" s="71">
        <v>1.03</v>
      </c>
    </row>
    <row r="12" spans="1:23" x14ac:dyDescent="0.2">
      <c r="A12">
        <v>11</v>
      </c>
      <c r="B12" t="s">
        <v>176</v>
      </c>
      <c r="C12" s="69">
        <v>92117</v>
      </c>
      <c r="D12" s="69">
        <v>1105408</v>
      </c>
      <c r="E12" s="70">
        <v>0.15</v>
      </c>
      <c r="F12">
        <v>88</v>
      </c>
      <c r="G12">
        <v>11</v>
      </c>
      <c r="H12" s="70">
        <v>0.05</v>
      </c>
      <c r="I12" s="69">
        <v>1047</v>
      </c>
      <c r="J12" s="69">
        <v>4122</v>
      </c>
      <c r="K12" s="69">
        <v>251229</v>
      </c>
      <c r="L12" t="s">
        <v>187</v>
      </c>
      <c r="M12" s="70">
        <v>0.6</v>
      </c>
      <c r="N12" s="69">
        <v>21247</v>
      </c>
      <c r="O12">
        <v>1.77</v>
      </c>
      <c r="P12">
        <v>75</v>
      </c>
      <c r="Q12" s="69">
        <v>36847</v>
      </c>
      <c r="R12" s="69">
        <v>113364</v>
      </c>
      <c r="S12" s="69">
        <v>6408</v>
      </c>
      <c r="T12" s="71">
        <v>1.03</v>
      </c>
    </row>
    <row r="13" spans="1:23" x14ac:dyDescent="0.2">
      <c r="A13">
        <v>12</v>
      </c>
      <c r="B13" t="s">
        <v>176</v>
      </c>
      <c r="C13" s="69">
        <v>105935</v>
      </c>
      <c r="D13" s="69">
        <v>1271219</v>
      </c>
      <c r="E13" s="70">
        <v>0.15</v>
      </c>
      <c r="F13">
        <v>101</v>
      </c>
      <c r="G13">
        <v>13</v>
      </c>
      <c r="H13" s="70">
        <v>0.05</v>
      </c>
      <c r="I13" s="69">
        <v>1049</v>
      </c>
      <c r="J13" s="69">
        <v>3488</v>
      </c>
      <c r="K13" s="69">
        <v>251727</v>
      </c>
      <c r="L13" t="s">
        <v>188</v>
      </c>
      <c r="M13" s="70">
        <v>0.6</v>
      </c>
      <c r="N13" s="69">
        <v>7429</v>
      </c>
      <c r="O13">
        <v>0.54</v>
      </c>
      <c r="P13">
        <v>75</v>
      </c>
      <c r="Q13" s="69">
        <v>42374</v>
      </c>
      <c r="R13" s="69">
        <v>113364</v>
      </c>
      <c r="S13" s="69">
        <v>7369</v>
      </c>
      <c r="T13" s="71">
        <v>1.03</v>
      </c>
    </row>
    <row r="14" spans="1:23" x14ac:dyDescent="0.2">
      <c r="A14">
        <v>13</v>
      </c>
      <c r="B14" t="s">
        <v>189</v>
      </c>
      <c r="C14" s="69">
        <v>121825</v>
      </c>
      <c r="D14" s="69">
        <v>1461902</v>
      </c>
      <c r="E14" s="70">
        <v>0.15</v>
      </c>
      <c r="F14">
        <v>116</v>
      </c>
      <c r="G14">
        <v>15</v>
      </c>
      <c r="H14" s="70">
        <v>0.05</v>
      </c>
      <c r="I14" s="69">
        <v>1050</v>
      </c>
      <c r="J14" s="69">
        <v>3023</v>
      </c>
      <c r="K14" s="69">
        <v>252052</v>
      </c>
      <c r="L14" t="s">
        <v>190</v>
      </c>
      <c r="M14" s="70">
        <v>0.6</v>
      </c>
      <c r="N14" s="69">
        <v>-8461</v>
      </c>
      <c r="O14">
        <v>-0.53</v>
      </c>
      <c r="P14">
        <v>75</v>
      </c>
      <c r="Q14" s="69">
        <v>48730</v>
      </c>
      <c r="R14" s="69">
        <v>113364</v>
      </c>
      <c r="S14" s="69">
        <v>8475</v>
      </c>
      <c r="T14" s="71">
        <v>1.03</v>
      </c>
    </row>
    <row r="15" spans="1:23" x14ac:dyDescent="0.2">
      <c r="A15">
        <v>14</v>
      </c>
      <c r="B15" t="s">
        <v>189</v>
      </c>
      <c r="C15" s="69">
        <v>140099</v>
      </c>
      <c r="D15" s="69">
        <v>1681188</v>
      </c>
      <c r="E15" s="70">
        <v>0.15</v>
      </c>
      <c r="F15">
        <v>133</v>
      </c>
      <c r="G15">
        <v>17</v>
      </c>
      <c r="H15" s="70">
        <v>0.05</v>
      </c>
      <c r="I15" s="69">
        <v>1053</v>
      </c>
      <c r="J15" s="69">
        <v>2667</v>
      </c>
      <c r="K15" s="69">
        <v>252810</v>
      </c>
      <c r="L15" t="s">
        <v>191</v>
      </c>
      <c r="M15" s="70">
        <v>0.6</v>
      </c>
      <c r="N15" s="69">
        <v>-26735</v>
      </c>
      <c r="O15">
        <v>-1.46</v>
      </c>
      <c r="P15">
        <v>75</v>
      </c>
      <c r="Q15" s="69">
        <v>56040</v>
      </c>
      <c r="R15" s="69">
        <v>113364</v>
      </c>
      <c r="S15" s="69">
        <v>9746</v>
      </c>
      <c r="T15" s="71">
        <v>1.03</v>
      </c>
    </row>
    <row r="16" spans="1:23" x14ac:dyDescent="0.2">
      <c r="A16">
        <v>15</v>
      </c>
      <c r="B16" t="s">
        <v>189</v>
      </c>
      <c r="C16" s="69">
        <v>161114</v>
      </c>
      <c r="D16" s="69">
        <v>1933366</v>
      </c>
      <c r="E16" s="70">
        <v>0.15</v>
      </c>
      <c r="F16">
        <v>152</v>
      </c>
      <c r="G16">
        <v>19</v>
      </c>
      <c r="H16" s="70">
        <v>0.05</v>
      </c>
      <c r="I16" s="69">
        <v>1060</v>
      </c>
      <c r="J16" s="69">
        <v>2387</v>
      </c>
      <c r="K16" s="69">
        <v>254390</v>
      </c>
      <c r="L16" t="s">
        <v>192</v>
      </c>
      <c r="M16" s="70">
        <v>0.6</v>
      </c>
      <c r="N16" s="69">
        <v>-47750</v>
      </c>
      <c r="O16">
        <v>-2.27</v>
      </c>
      <c r="P16">
        <v>75</v>
      </c>
      <c r="Q16" s="69">
        <v>64446</v>
      </c>
      <c r="R16" s="69">
        <v>113364</v>
      </c>
      <c r="S16" s="69">
        <v>11208</v>
      </c>
      <c r="T16" s="71">
        <v>1.03</v>
      </c>
    </row>
    <row r="17" spans="1:20" x14ac:dyDescent="0.2">
      <c r="A17">
        <v>16</v>
      </c>
      <c r="B17" t="s">
        <v>189</v>
      </c>
      <c r="C17" s="69">
        <v>185281</v>
      </c>
      <c r="D17" s="69">
        <v>2223371</v>
      </c>
      <c r="E17" s="70">
        <v>0.15</v>
      </c>
      <c r="F17">
        <v>174</v>
      </c>
      <c r="G17">
        <v>22</v>
      </c>
      <c r="H17" s="70">
        <v>0.05</v>
      </c>
      <c r="I17" s="69">
        <v>1065</v>
      </c>
      <c r="J17" s="69">
        <v>2061</v>
      </c>
      <c r="K17" s="69">
        <v>255560</v>
      </c>
      <c r="L17" t="s">
        <v>193</v>
      </c>
      <c r="M17" s="70">
        <v>0.6</v>
      </c>
      <c r="N17" s="69">
        <v>-71917</v>
      </c>
      <c r="O17">
        <v>-2.98</v>
      </c>
      <c r="P17">
        <v>75</v>
      </c>
      <c r="Q17" s="69">
        <v>74112</v>
      </c>
      <c r="R17" s="69">
        <v>113364</v>
      </c>
      <c r="S17" s="69">
        <v>12889</v>
      </c>
      <c r="T17" s="71">
        <v>1.03</v>
      </c>
    </row>
    <row r="18" spans="1:20" x14ac:dyDescent="0.2">
      <c r="A18">
        <v>17</v>
      </c>
      <c r="B18" t="s">
        <v>189</v>
      </c>
      <c r="C18" s="69">
        <v>213073</v>
      </c>
      <c r="D18" s="69">
        <v>2556876</v>
      </c>
      <c r="E18" s="70">
        <v>0.15</v>
      </c>
      <c r="F18">
        <v>200</v>
      </c>
      <c r="G18">
        <v>26</v>
      </c>
      <c r="H18" s="70">
        <v>0.05</v>
      </c>
      <c r="I18" s="69">
        <v>1065</v>
      </c>
      <c r="J18" s="69">
        <v>1744</v>
      </c>
      <c r="K18" s="69">
        <v>255688</v>
      </c>
      <c r="L18" t="s">
        <v>194</v>
      </c>
      <c r="M18" s="70">
        <v>0.6</v>
      </c>
      <c r="N18" s="69">
        <v>-99709</v>
      </c>
      <c r="O18">
        <v>-3.59</v>
      </c>
      <c r="P18">
        <v>75</v>
      </c>
      <c r="Q18" s="69">
        <v>85229</v>
      </c>
      <c r="R18" s="69">
        <v>113364</v>
      </c>
      <c r="S18" s="69">
        <v>14822</v>
      </c>
      <c r="T18" s="71">
        <v>1.03</v>
      </c>
    </row>
    <row r="19" spans="1:20" x14ac:dyDescent="0.2">
      <c r="A19">
        <v>18</v>
      </c>
      <c r="B19" t="s">
        <v>189</v>
      </c>
      <c r="C19" s="69">
        <v>245034</v>
      </c>
      <c r="D19" s="69">
        <v>2940408</v>
      </c>
      <c r="E19" s="70">
        <v>0.15</v>
      </c>
      <c r="F19">
        <v>229</v>
      </c>
      <c r="G19">
        <v>29</v>
      </c>
      <c r="H19" s="70">
        <v>0.05</v>
      </c>
      <c r="I19" s="69">
        <v>1070</v>
      </c>
      <c r="J19" s="69">
        <v>1564</v>
      </c>
      <c r="K19" s="69">
        <v>256804</v>
      </c>
      <c r="L19" t="s">
        <v>195</v>
      </c>
      <c r="M19" s="70">
        <v>0.6</v>
      </c>
      <c r="N19" s="69">
        <v>-131670</v>
      </c>
      <c r="O19">
        <v>-4.12</v>
      </c>
      <c r="P19">
        <v>75</v>
      </c>
      <c r="Q19" s="69">
        <v>98014</v>
      </c>
      <c r="R19" s="69">
        <v>113364</v>
      </c>
      <c r="S19" s="69">
        <v>17046</v>
      </c>
      <c r="T19" s="71">
        <v>1.03</v>
      </c>
    </row>
    <row r="20" spans="1:20" x14ac:dyDescent="0.2">
      <c r="A20">
        <v>19</v>
      </c>
      <c r="B20" t="s">
        <v>189</v>
      </c>
      <c r="C20" s="69">
        <v>281789</v>
      </c>
      <c r="D20" s="69">
        <v>3381469</v>
      </c>
      <c r="E20" s="70">
        <v>0.15</v>
      </c>
      <c r="F20">
        <v>263</v>
      </c>
      <c r="G20">
        <v>34</v>
      </c>
      <c r="H20" s="70">
        <v>0.05</v>
      </c>
      <c r="I20" s="69">
        <v>1071</v>
      </c>
      <c r="J20" s="69">
        <v>1334</v>
      </c>
      <c r="K20" s="69">
        <v>257146</v>
      </c>
      <c r="L20" t="s">
        <v>196</v>
      </c>
      <c r="M20" s="70">
        <v>0.6</v>
      </c>
      <c r="N20" s="69">
        <v>-168425</v>
      </c>
      <c r="O20">
        <v>-4.58</v>
      </c>
      <c r="P20">
        <v>75</v>
      </c>
      <c r="Q20" s="69">
        <v>112716</v>
      </c>
      <c r="R20" s="69">
        <v>113364</v>
      </c>
      <c r="S20" s="69">
        <v>19603</v>
      </c>
      <c r="T20" s="71">
        <v>1.03</v>
      </c>
    </row>
    <row r="21" spans="1:20" x14ac:dyDescent="0.2">
      <c r="A21">
        <v>20</v>
      </c>
      <c r="B21" t="s">
        <v>189</v>
      </c>
      <c r="C21" s="69">
        <v>324057</v>
      </c>
      <c r="D21" s="69">
        <v>3888689</v>
      </c>
      <c r="E21" s="70">
        <v>0.15</v>
      </c>
      <c r="F21">
        <v>302</v>
      </c>
      <c r="G21">
        <v>39</v>
      </c>
      <c r="H21" s="70">
        <v>0.05</v>
      </c>
      <c r="I21" s="69">
        <v>1073</v>
      </c>
      <c r="J21" s="69">
        <v>1163</v>
      </c>
      <c r="K21" s="69">
        <v>257529</v>
      </c>
      <c r="L21" t="s">
        <v>197</v>
      </c>
      <c r="M21" s="70">
        <v>0.6</v>
      </c>
      <c r="N21" s="69">
        <v>-210693</v>
      </c>
      <c r="O21">
        <v>-4.9800000000000004</v>
      </c>
      <c r="P21">
        <v>75</v>
      </c>
      <c r="Q21" s="69">
        <v>129623</v>
      </c>
      <c r="R21" s="69">
        <v>113364</v>
      </c>
      <c r="S21" s="69">
        <v>22543</v>
      </c>
      <c r="T21" s="71">
        <v>1.03</v>
      </c>
    </row>
    <row r="22" spans="1:20" x14ac:dyDescent="0.2">
      <c r="A22">
        <v>21</v>
      </c>
      <c r="B22" t="s">
        <v>189</v>
      </c>
      <c r="C22" s="69">
        <v>372666</v>
      </c>
      <c r="D22" s="69">
        <v>4471993</v>
      </c>
      <c r="E22" s="70">
        <v>0.15</v>
      </c>
      <c r="F22">
        <v>347</v>
      </c>
      <c r="G22">
        <v>45</v>
      </c>
      <c r="H22" s="70">
        <v>0.05</v>
      </c>
      <c r="I22" s="69">
        <v>1074</v>
      </c>
      <c r="J22" s="69">
        <v>1008</v>
      </c>
      <c r="K22" s="69">
        <v>257752</v>
      </c>
      <c r="L22" t="s">
        <v>198</v>
      </c>
      <c r="M22" s="70">
        <v>0.6</v>
      </c>
      <c r="N22" s="69">
        <v>-259302</v>
      </c>
      <c r="O22">
        <v>-5.33</v>
      </c>
      <c r="P22">
        <v>75</v>
      </c>
      <c r="Q22" s="69">
        <v>149066</v>
      </c>
      <c r="R22" s="69">
        <v>113364</v>
      </c>
      <c r="S22" s="69">
        <v>25925</v>
      </c>
      <c r="T22" s="71">
        <v>1.03</v>
      </c>
    </row>
    <row r="23" spans="1:20" x14ac:dyDescent="0.2">
      <c r="A23">
        <v>22</v>
      </c>
      <c r="B23" t="s">
        <v>189</v>
      </c>
      <c r="C23" s="69">
        <v>428566</v>
      </c>
      <c r="D23" s="69">
        <v>5142792</v>
      </c>
      <c r="E23" s="70">
        <v>0.15</v>
      </c>
      <c r="F23">
        <v>399</v>
      </c>
      <c r="G23">
        <v>52</v>
      </c>
      <c r="H23" s="70">
        <v>0.05</v>
      </c>
      <c r="I23" s="69">
        <v>1074</v>
      </c>
      <c r="J23" s="69">
        <v>872</v>
      </c>
      <c r="K23" s="69">
        <v>257784</v>
      </c>
      <c r="L23" t="s">
        <v>199</v>
      </c>
      <c r="M23" s="70">
        <v>0.6</v>
      </c>
      <c r="N23" s="69">
        <v>-315202</v>
      </c>
      <c r="O23">
        <v>-5.64</v>
      </c>
      <c r="P23">
        <v>75</v>
      </c>
      <c r="Q23" s="69">
        <v>171426</v>
      </c>
      <c r="R23" s="69">
        <v>113364</v>
      </c>
      <c r="S23" s="69">
        <v>29813</v>
      </c>
      <c r="T23" s="71">
        <v>1.03</v>
      </c>
    </row>
    <row r="24" spans="1:20" x14ac:dyDescent="0.2">
      <c r="A24">
        <v>23</v>
      </c>
      <c r="B24" t="s">
        <v>189</v>
      </c>
      <c r="C24" s="69">
        <v>492851</v>
      </c>
      <c r="D24" s="69">
        <v>5914210</v>
      </c>
      <c r="E24" s="70">
        <v>0.15</v>
      </c>
      <c r="F24">
        <v>458</v>
      </c>
      <c r="G24">
        <v>59</v>
      </c>
      <c r="H24" s="70">
        <v>0.05</v>
      </c>
      <c r="I24" s="69">
        <v>1076</v>
      </c>
      <c r="J24" s="69">
        <v>769</v>
      </c>
      <c r="K24" s="69">
        <v>258262</v>
      </c>
      <c r="L24" t="s">
        <v>200</v>
      </c>
      <c r="M24" s="70">
        <v>0.6</v>
      </c>
      <c r="N24" s="69">
        <v>-379487</v>
      </c>
      <c r="O24">
        <v>-5.9</v>
      </c>
      <c r="P24">
        <v>75</v>
      </c>
      <c r="Q24" s="69">
        <v>197140</v>
      </c>
      <c r="R24" s="69">
        <v>113364</v>
      </c>
      <c r="S24" s="69">
        <v>34285</v>
      </c>
      <c r="T24" s="71">
        <v>1.03</v>
      </c>
    </row>
    <row r="25" spans="1:20" x14ac:dyDescent="0.2">
      <c r="A25">
        <v>24</v>
      </c>
      <c r="B25" t="s">
        <v>189</v>
      </c>
      <c r="C25" s="69">
        <v>566778</v>
      </c>
      <c r="D25" s="69">
        <v>6801342</v>
      </c>
      <c r="E25" s="70">
        <v>0.15</v>
      </c>
      <c r="F25">
        <v>526</v>
      </c>
      <c r="G25">
        <v>68</v>
      </c>
      <c r="H25" s="70">
        <v>0.05</v>
      </c>
      <c r="I25" s="69">
        <v>1078</v>
      </c>
      <c r="J25" s="69">
        <v>667</v>
      </c>
      <c r="K25" s="69">
        <v>258606</v>
      </c>
      <c r="L25" t="s">
        <v>201</v>
      </c>
      <c r="M25" s="70">
        <v>0.6</v>
      </c>
      <c r="N25" s="69">
        <v>-453414</v>
      </c>
      <c r="O25">
        <v>-6.13</v>
      </c>
      <c r="P25">
        <v>75</v>
      </c>
      <c r="Q25" s="69">
        <v>226711</v>
      </c>
      <c r="R25" s="69">
        <v>113364</v>
      </c>
      <c r="S25" s="69">
        <v>39428</v>
      </c>
      <c r="T25" s="71">
        <v>1.03</v>
      </c>
    </row>
    <row r="26" spans="1:20" x14ac:dyDescent="0.2">
      <c r="A26">
        <v>25</v>
      </c>
      <c r="B26" t="s">
        <v>202</v>
      </c>
      <c r="C26" s="69">
        <v>651795</v>
      </c>
      <c r="D26" s="69">
        <v>7821543</v>
      </c>
      <c r="E26" s="70">
        <v>0.15</v>
      </c>
      <c r="F26">
        <v>604</v>
      </c>
      <c r="G26">
        <v>78</v>
      </c>
      <c r="H26" s="70">
        <v>0.05</v>
      </c>
      <c r="I26" s="69">
        <v>1079</v>
      </c>
      <c r="J26" s="69">
        <v>581</v>
      </c>
      <c r="K26" s="69">
        <v>258991</v>
      </c>
      <c r="L26" t="s">
        <v>203</v>
      </c>
      <c r="M26" s="70">
        <v>0.6</v>
      </c>
      <c r="N26" s="69">
        <v>-538431</v>
      </c>
      <c r="O26">
        <v>-6.33</v>
      </c>
      <c r="P26">
        <v>75</v>
      </c>
      <c r="Q26" s="69">
        <v>260718</v>
      </c>
      <c r="R26" s="69">
        <v>113364</v>
      </c>
      <c r="S26" s="69">
        <v>45342</v>
      </c>
      <c r="T26" s="71">
        <v>1.03</v>
      </c>
    </row>
    <row r="27" spans="1:20" x14ac:dyDescent="0.2">
      <c r="A27">
        <v>26</v>
      </c>
      <c r="B27" t="s">
        <v>202</v>
      </c>
      <c r="C27" s="69">
        <v>749565</v>
      </c>
      <c r="D27" s="69">
        <v>8994775</v>
      </c>
      <c r="E27" s="70">
        <v>0.15</v>
      </c>
      <c r="F27">
        <v>694</v>
      </c>
      <c r="G27">
        <v>90</v>
      </c>
      <c r="H27" s="70">
        <v>0.05</v>
      </c>
      <c r="I27" s="69">
        <v>1080</v>
      </c>
      <c r="J27" s="69">
        <v>504</v>
      </c>
      <c r="K27" s="69">
        <v>259215</v>
      </c>
      <c r="L27" t="s">
        <v>204</v>
      </c>
      <c r="M27" s="70">
        <v>0.6</v>
      </c>
      <c r="N27" s="69">
        <v>-636200</v>
      </c>
      <c r="O27">
        <v>-6.51</v>
      </c>
      <c r="P27">
        <v>75</v>
      </c>
      <c r="Q27" s="69">
        <v>299826</v>
      </c>
      <c r="R27" s="69">
        <v>113364</v>
      </c>
      <c r="S27" s="69">
        <v>52144</v>
      </c>
      <c r="T27" s="71">
        <v>1.03</v>
      </c>
    </row>
    <row r="28" spans="1:20" x14ac:dyDescent="0.2">
      <c r="A28">
        <v>27</v>
      </c>
      <c r="B28" t="s">
        <v>202</v>
      </c>
      <c r="C28" s="69">
        <v>861999</v>
      </c>
      <c r="D28" s="69">
        <v>10343991</v>
      </c>
      <c r="E28" s="70">
        <v>0.15</v>
      </c>
      <c r="F28">
        <v>798</v>
      </c>
      <c r="G28">
        <v>104</v>
      </c>
      <c r="H28" s="70">
        <v>0.05</v>
      </c>
      <c r="I28" s="69">
        <v>1080</v>
      </c>
      <c r="J28" s="69">
        <v>436</v>
      </c>
      <c r="K28" s="69">
        <v>259248</v>
      </c>
      <c r="L28" t="s">
        <v>205</v>
      </c>
      <c r="M28" s="70">
        <v>0.6</v>
      </c>
      <c r="N28" s="69">
        <v>-748635</v>
      </c>
      <c r="O28">
        <v>-6.66</v>
      </c>
      <c r="P28">
        <v>75</v>
      </c>
      <c r="Q28" s="69">
        <v>344800</v>
      </c>
      <c r="R28" s="69">
        <v>113364</v>
      </c>
      <c r="S28" s="69">
        <v>59965</v>
      </c>
      <c r="T28" s="71">
        <v>1.03</v>
      </c>
    </row>
    <row r="29" spans="1:20" x14ac:dyDescent="0.2">
      <c r="A29">
        <v>28</v>
      </c>
      <c r="B29" t="s">
        <v>202</v>
      </c>
      <c r="C29" s="69">
        <v>991299</v>
      </c>
      <c r="D29" s="69">
        <v>11895589</v>
      </c>
      <c r="E29" s="70">
        <v>0.15</v>
      </c>
      <c r="F29">
        <v>917</v>
      </c>
      <c r="G29">
        <v>119</v>
      </c>
      <c r="H29" s="70">
        <v>0.05</v>
      </c>
      <c r="I29" s="69">
        <v>1081</v>
      </c>
      <c r="J29" s="69">
        <v>381</v>
      </c>
      <c r="K29" s="69">
        <v>259446</v>
      </c>
      <c r="L29" t="s">
        <v>206</v>
      </c>
      <c r="M29" s="70">
        <v>0.6</v>
      </c>
      <c r="N29" s="69">
        <v>-877935</v>
      </c>
      <c r="O29">
        <v>-6.79</v>
      </c>
      <c r="P29">
        <v>75</v>
      </c>
      <c r="Q29" s="69">
        <v>396520</v>
      </c>
      <c r="R29" s="69">
        <v>113364</v>
      </c>
      <c r="S29" s="69">
        <v>68960</v>
      </c>
      <c r="T29" s="71">
        <v>1.03</v>
      </c>
    </row>
    <row r="30" spans="1:20" x14ac:dyDescent="0.2">
      <c r="A30">
        <v>29</v>
      </c>
      <c r="B30" t="s">
        <v>202</v>
      </c>
      <c r="C30" s="69">
        <v>1139994</v>
      </c>
      <c r="D30" s="69">
        <v>13679928</v>
      </c>
      <c r="E30" s="70">
        <v>0.15</v>
      </c>
      <c r="F30" s="72">
        <v>1054</v>
      </c>
      <c r="G30">
        <v>137</v>
      </c>
      <c r="H30" s="70">
        <v>0.05</v>
      </c>
      <c r="I30" s="69">
        <v>1082</v>
      </c>
      <c r="J30" s="69">
        <v>331</v>
      </c>
      <c r="K30" s="69">
        <v>259581</v>
      </c>
      <c r="L30" t="s">
        <v>207</v>
      </c>
      <c r="M30" s="70">
        <v>0.6</v>
      </c>
      <c r="N30" s="69">
        <v>-1026630</v>
      </c>
      <c r="O30">
        <v>-6.9</v>
      </c>
      <c r="P30">
        <v>75</v>
      </c>
      <c r="Q30" s="69">
        <v>455998</v>
      </c>
      <c r="R30" s="69">
        <v>113364</v>
      </c>
      <c r="S30" s="69">
        <v>79304</v>
      </c>
      <c r="T30" s="71">
        <v>1.03</v>
      </c>
    </row>
    <row r="31" spans="1:20" x14ac:dyDescent="0.2">
      <c r="A31">
        <v>30</v>
      </c>
      <c r="B31" t="s">
        <v>202</v>
      </c>
      <c r="C31" s="69">
        <v>1310993</v>
      </c>
      <c r="D31" s="69">
        <v>15731917</v>
      </c>
      <c r="E31" s="70">
        <v>0.15</v>
      </c>
      <c r="F31" s="72">
        <v>1212</v>
      </c>
      <c r="G31">
        <v>158</v>
      </c>
      <c r="H31" s="70">
        <v>0.05</v>
      </c>
      <c r="I31" s="69">
        <v>1082</v>
      </c>
      <c r="J31" s="69">
        <v>287</v>
      </c>
      <c r="K31" s="69">
        <v>259603</v>
      </c>
      <c r="L31" t="s">
        <v>208</v>
      </c>
      <c r="M31" s="70">
        <v>0.6</v>
      </c>
      <c r="N31" s="69">
        <v>-1197629</v>
      </c>
      <c r="O31">
        <v>-7</v>
      </c>
      <c r="P31">
        <v>75</v>
      </c>
      <c r="Q31" s="69">
        <v>524397</v>
      </c>
      <c r="R31" s="69">
        <v>113364</v>
      </c>
      <c r="S31" s="69">
        <v>91200</v>
      </c>
      <c r="T31" s="71">
        <v>1.03</v>
      </c>
    </row>
    <row r="32" spans="1:20" x14ac:dyDescent="0.2">
      <c r="A32">
        <v>31</v>
      </c>
      <c r="B32" t="s">
        <v>209</v>
      </c>
      <c r="C32" s="69">
        <v>1507642</v>
      </c>
      <c r="D32" s="69">
        <v>18091705</v>
      </c>
      <c r="E32" s="70">
        <v>0.15</v>
      </c>
      <c r="F32" s="72">
        <v>1393</v>
      </c>
      <c r="G32">
        <v>181</v>
      </c>
      <c r="H32" s="70">
        <v>0.05</v>
      </c>
      <c r="I32" s="69">
        <v>1082</v>
      </c>
      <c r="J32" s="69">
        <v>251</v>
      </c>
      <c r="K32" s="69">
        <v>259752</v>
      </c>
      <c r="L32" t="s">
        <v>210</v>
      </c>
      <c r="M32" s="70">
        <v>0.6</v>
      </c>
      <c r="N32" s="69">
        <v>-1394278</v>
      </c>
      <c r="O32">
        <v>-7.09</v>
      </c>
      <c r="P32">
        <v>75</v>
      </c>
      <c r="Q32" s="69">
        <v>603057</v>
      </c>
      <c r="R32" s="69">
        <v>113364</v>
      </c>
      <c r="S32" s="69">
        <v>104879</v>
      </c>
      <c r="T32" s="71">
        <v>1.03</v>
      </c>
    </row>
    <row r="33" spans="1:20" x14ac:dyDescent="0.2">
      <c r="A33">
        <v>32</v>
      </c>
      <c r="B33" t="s">
        <v>209</v>
      </c>
      <c r="C33" s="69">
        <v>1733788</v>
      </c>
      <c r="D33" s="69">
        <v>20805460</v>
      </c>
      <c r="E33" s="70">
        <v>0.15</v>
      </c>
      <c r="F33" s="72">
        <v>1601</v>
      </c>
      <c r="G33">
        <v>208</v>
      </c>
      <c r="H33" s="70">
        <v>0.05</v>
      </c>
      <c r="I33" s="69">
        <v>1083</v>
      </c>
      <c r="J33" s="69">
        <v>218</v>
      </c>
      <c r="K33" s="69">
        <v>259906</v>
      </c>
      <c r="L33" t="s">
        <v>211</v>
      </c>
      <c r="M33" s="70">
        <v>0.6</v>
      </c>
      <c r="N33" s="69">
        <v>-1620424</v>
      </c>
      <c r="O33">
        <v>-7.17</v>
      </c>
      <c r="P33">
        <v>75</v>
      </c>
      <c r="Q33" s="69">
        <v>693515</v>
      </c>
      <c r="R33" s="69">
        <v>113364</v>
      </c>
      <c r="S33" s="69">
        <v>120611</v>
      </c>
      <c r="T33" s="71">
        <v>1.03</v>
      </c>
    </row>
    <row r="34" spans="1:20" x14ac:dyDescent="0.2">
      <c r="A34">
        <v>33</v>
      </c>
      <c r="B34" t="s">
        <v>209</v>
      </c>
      <c r="C34" s="69">
        <v>1993857</v>
      </c>
      <c r="D34" s="69">
        <v>23926279</v>
      </c>
      <c r="E34" s="70">
        <v>0.15</v>
      </c>
      <c r="F34" s="72">
        <v>1841</v>
      </c>
      <c r="G34">
        <v>240</v>
      </c>
      <c r="H34" s="70">
        <v>0.05</v>
      </c>
      <c r="I34" s="69">
        <v>1083</v>
      </c>
      <c r="J34" s="69">
        <v>189</v>
      </c>
      <c r="K34" s="69">
        <v>259927</v>
      </c>
      <c r="L34" t="s">
        <v>212</v>
      </c>
      <c r="M34" s="70">
        <v>0.6</v>
      </c>
      <c r="N34" s="69">
        <v>-1880492</v>
      </c>
      <c r="O34">
        <v>-7.23</v>
      </c>
      <c r="P34">
        <v>75</v>
      </c>
      <c r="Q34" s="69">
        <v>797543</v>
      </c>
      <c r="R34" s="69">
        <v>113364</v>
      </c>
      <c r="S34" s="69">
        <v>138703</v>
      </c>
      <c r="T34" s="71">
        <v>1.03</v>
      </c>
    </row>
    <row r="35" spans="1:20" x14ac:dyDescent="0.2">
      <c r="A35">
        <v>34</v>
      </c>
      <c r="B35" t="s">
        <v>209</v>
      </c>
      <c r="C35" s="69">
        <v>2292935</v>
      </c>
      <c r="D35" s="69">
        <v>27515221</v>
      </c>
      <c r="E35" s="70">
        <v>0.15</v>
      </c>
      <c r="F35" s="72">
        <v>2117</v>
      </c>
      <c r="G35">
        <v>276</v>
      </c>
      <c r="H35" s="70">
        <v>0.05</v>
      </c>
      <c r="I35" s="69">
        <v>1083</v>
      </c>
      <c r="J35" s="69">
        <v>164</v>
      </c>
      <c r="K35" s="69">
        <v>259945</v>
      </c>
      <c r="L35" t="s">
        <v>213</v>
      </c>
      <c r="M35" s="70">
        <v>0.6</v>
      </c>
      <c r="N35" s="69">
        <v>-2179571</v>
      </c>
      <c r="O35">
        <v>-7.29</v>
      </c>
      <c r="P35">
        <v>75</v>
      </c>
      <c r="Q35" s="69">
        <v>917174</v>
      </c>
      <c r="R35" s="69">
        <v>113364</v>
      </c>
      <c r="S35" s="69">
        <v>159509</v>
      </c>
      <c r="T35" s="71">
        <v>1.03</v>
      </c>
    </row>
    <row r="36" spans="1:20" x14ac:dyDescent="0.2">
      <c r="A36">
        <v>35</v>
      </c>
      <c r="B36" t="s">
        <v>209</v>
      </c>
      <c r="C36" s="69">
        <v>2636875</v>
      </c>
      <c r="D36" s="69">
        <v>31642504</v>
      </c>
      <c r="E36" s="70">
        <v>0.15</v>
      </c>
      <c r="F36" s="72">
        <v>2434</v>
      </c>
      <c r="G36">
        <v>317</v>
      </c>
      <c r="H36" s="70">
        <v>0.05</v>
      </c>
      <c r="I36" s="69">
        <v>1083</v>
      </c>
      <c r="J36" s="69">
        <v>143</v>
      </c>
      <c r="K36" s="69">
        <v>260004</v>
      </c>
      <c r="L36" t="s">
        <v>214</v>
      </c>
      <c r="M36" s="70">
        <v>0.6</v>
      </c>
      <c r="N36" s="69">
        <v>-2523511</v>
      </c>
      <c r="O36">
        <v>-7.34</v>
      </c>
      <c r="P36">
        <v>75</v>
      </c>
      <c r="Q36" s="69">
        <v>1054750</v>
      </c>
      <c r="R36" s="69">
        <v>113364</v>
      </c>
      <c r="S36" s="69">
        <v>183435</v>
      </c>
      <c r="T36" s="71">
        <v>1.03</v>
      </c>
    </row>
    <row r="37" spans="1:20" x14ac:dyDescent="0.2">
      <c r="A37">
        <v>36</v>
      </c>
      <c r="B37" t="s">
        <v>209</v>
      </c>
      <c r="C37" s="69">
        <v>3032407</v>
      </c>
      <c r="D37" s="69">
        <v>36388880</v>
      </c>
      <c r="E37" s="70">
        <v>0.15</v>
      </c>
      <c r="F37" s="72">
        <v>2799</v>
      </c>
      <c r="G37">
        <v>365</v>
      </c>
      <c r="H37" s="70">
        <v>0.05</v>
      </c>
      <c r="I37" s="69">
        <v>1083</v>
      </c>
      <c r="J37" s="69">
        <v>124</v>
      </c>
      <c r="K37" s="69">
        <v>260013</v>
      </c>
      <c r="L37" t="s">
        <v>215</v>
      </c>
      <c r="M37" s="70">
        <v>0.6</v>
      </c>
      <c r="N37" s="69">
        <v>-2919042</v>
      </c>
      <c r="O37">
        <v>-7.38</v>
      </c>
      <c r="P37">
        <v>75</v>
      </c>
      <c r="Q37" s="69">
        <v>1212963</v>
      </c>
      <c r="R37" s="69">
        <v>113364</v>
      </c>
      <c r="S37" s="69">
        <v>210950</v>
      </c>
      <c r="T37" s="71">
        <v>1.03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3E9C3-5492-1647-945D-E6F937944305}">
  <dimension ref="A1:U93"/>
  <sheetViews>
    <sheetView workbookViewId="0">
      <selection activeCell="W16" sqref="W16"/>
    </sheetView>
  </sheetViews>
  <sheetFormatPr baseColWidth="10" defaultRowHeight="16" x14ac:dyDescent="0.2"/>
  <cols>
    <col min="1" max="1" width="32.33203125" customWidth="1"/>
    <col min="2" max="2" width="24.33203125" customWidth="1"/>
  </cols>
  <sheetData>
    <row r="1" spans="1:21" x14ac:dyDescent="0.2">
      <c r="A1" t="str">
        <f>'Financial Model'!H1</f>
        <v>Month to Month Account Growth</v>
      </c>
      <c r="B1">
        <f>'Financial Model'!I1</f>
        <v>1</v>
      </c>
      <c r="C1">
        <f>'Financial Model'!J1</f>
        <v>1</v>
      </c>
      <c r="D1">
        <f>'Financial Model'!K1</f>
        <v>1.5</v>
      </c>
      <c r="E1">
        <f>'Financial Model'!L1</f>
        <v>1.1000000000000001</v>
      </c>
      <c r="F1">
        <f>'Financial Model'!M1</f>
        <v>1.1499999999999999</v>
      </c>
      <c r="G1">
        <f>'Financial Model'!N1</f>
        <v>1.1499999999999999</v>
      </c>
      <c r="H1">
        <f>'Financial Model'!O1</f>
        <v>1.2</v>
      </c>
      <c r="I1">
        <f>'Financial Model'!P1</f>
        <v>1.2</v>
      </c>
      <c r="J1">
        <f>'Financial Model'!Q1</f>
        <v>1.2</v>
      </c>
      <c r="K1">
        <f>'Financial Model'!R1</f>
        <v>1.3</v>
      </c>
      <c r="L1">
        <f>'Financial Model'!S1</f>
        <v>1.3</v>
      </c>
      <c r="M1">
        <f>'Financial Model'!T1</f>
        <v>1.3</v>
      </c>
      <c r="N1">
        <f>'Financial Model'!U1</f>
        <v>1.1499999999999999</v>
      </c>
      <c r="O1">
        <f>'Financial Model'!V1</f>
        <v>1.1499999999999999</v>
      </c>
      <c r="P1">
        <f>'Financial Model'!W1</f>
        <v>1.2</v>
      </c>
      <c r="Q1">
        <f>'Financial Model'!X1</f>
        <v>1.2</v>
      </c>
      <c r="R1">
        <f>'Financial Model'!Y1</f>
        <v>1.1499999999999999</v>
      </c>
      <c r="S1">
        <f>'Financial Model'!Z1</f>
        <v>1.1499999999999999</v>
      </c>
      <c r="T1">
        <f>'Financial Model'!AA1</f>
        <v>1.1499999999999999</v>
      </c>
      <c r="U1">
        <f>'Financial Model'!AB1</f>
        <v>1.1499999999999999</v>
      </c>
    </row>
    <row r="2" spans="1:21" x14ac:dyDescent="0.2">
      <c r="A2" t="str">
        <f>'Financial Model'!H2</f>
        <v>Contract Account Growth</v>
      </c>
      <c r="B2">
        <f>'Financial Model'!I2</f>
        <v>1</v>
      </c>
      <c r="C2">
        <f>'Financial Model'!J2</f>
        <v>2</v>
      </c>
      <c r="D2">
        <f>'Financial Model'!K2</f>
        <v>2</v>
      </c>
      <c r="E2">
        <f>'Financial Model'!L2</f>
        <v>0.6</v>
      </c>
      <c r="F2">
        <f>'Financial Model'!M2</f>
        <v>1.1499999999999999</v>
      </c>
      <c r="G2">
        <f>'Financial Model'!N2</f>
        <v>1.1499999999999999</v>
      </c>
      <c r="H2">
        <f>'Financial Model'!O2</f>
        <v>1.2</v>
      </c>
      <c r="I2">
        <f>'Financial Model'!P2</f>
        <v>1.2</v>
      </c>
      <c r="J2">
        <f>'Financial Model'!Q2</f>
        <v>1.2</v>
      </c>
      <c r="K2">
        <f>'Financial Model'!R2</f>
        <v>1.3</v>
      </c>
      <c r="L2">
        <f>'Financial Model'!S2</f>
        <v>1.3</v>
      </c>
      <c r="M2">
        <f>'Financial Model'!T2</f>
        <v>1.4</v>
      </c>
      <c r="N2">
        <f>'Financial Model'!U2</f>
        <v>1.1499999999999999</v>
      </c>
      <c r="O2">
        <f>'Financial Model'!V2</f>
        <v>1.1499999999999999</v>
      </c>
      <c r="P2">
        <f>'Financial Model'!W2</f>
        <v>1.1499999999999999</v>
      </c>
      <c r="Q2">
        <f>'Financial Model'!X2</f>
        <v>1.1499999999999999</v>
      </c>
      <c r="R2">
        <f>'Financial Model'!Y2</f>
        <v>1.1499999999999999</v>
      </c>
      <c r="S2">
        <f>'Financial Model'!Z2</f>
        <v>1.1499999999999999</v>
      </c>
      <c r="T2">
        <f>'Financial Model'!AA2</f>
        <v>1.1499999999999999</v>
      </c>
      <c r="U2">
        <f>'Financial Model'!AB2</f>
        <v>1.1499999999999999</v>
      </c>
    </row>
    <row r="3" spans="1:21" x14ac:dyDescent="0.2">
      <c r="A3">
        <f>'Financial Model'!H3</f>
        <v>0</v>
      </c>
      <c r="B3">
        <f>'Financial Model'!I3</f>
        <v>0</v>
      </c>
      <c r="C3">
        <f>'Financial Model'!J3</f>
        <v>0</v>
      </c>
      <c r="D3">
        <f>'Financial Model'!K3</f>
        <v>0</v>
      </c>
      <c r="E3">
        <f>'Financial Model'!L3</f>
        <v>0</v>
      </c>
      <c r="F3">
        <f>'Financial Model'!M3</f>
        <v>0</v>
      </c>
      <c r="G3">
        <f>'Financial Model'!N3</f>
        <v>0</v>
      </c>
      <c r="H3">
        <f>'Financial Model'!O3</f>
        <v>0</v>
      </c>
      <c r="I3">
        <f>'Financial Model'!P3</f>
        <v>0</v>
      </c>
      <c r="J3">
        <f>'Financial Model'!Q3</f>
        <v>0</v>
      </c>
      <c r="K3">
        <f>'Financial Model'!R3</f>
        <v>0</v>
      </c>
      <c r="L3">
        <f>'Financial Model'!S3</f>
        <v>0</v>
      </c>
      <c r="M3">
        <f>'Financial Model'!T3</f>
        <v>0</v>
      </c>
      <c r="N3">
        <f>'Financial Model'!U3</f>
        <v>0</v>
      </c>
      <c r="O3">
        <f>'Financial Model'!V3</f>
        <v>0</v>
      </c>
      <c r="P3">
        <f>'Financial Model'!W3</f>
        <v>0</v>
      </c>
      <c r="Q3">
        <f>'Financial Model'!X3</f>
        <v>0</v>
      </c>
      <c r="R3">
        <f>'Financial Model'!Y3</f>
        <v>0</v>
      </c>
      <c r="S3">
        <f>'Financial Model'!Z3</f>
        <v>0</v>
      </c>
      <c r="T3">
        <f>'Financial Model'!AA3</f>
        <v>0</v>
      </c>
      <c r="U3">
        <f>'Financial Model'!AB3</f>
        <v>0</v>
      </c>
    </row>
    <row r="4" spans="1:21" x14ac:dyDescent="0.2">
      <c r="A4">
        <f>'Financial Model'!H4</f>
        <v>0</v>
      </c>
      <c r="B4">
        <f>'Financial Model'!I4</f>
        <v>0</v>
      </c>
      <c r="C4">
        <f>'Financial Model'!J4</f>
        <v>0</v>
      </c>
      <c r="D4">
        <f>'Financial Model'!K4</f>
        <v>0</v>
      </c>
      <c r="E4">
        <f>'Financial Model'!L4</f>
        <v>0</v>
      </c>
      <c r="F4">
        <f>'Financial Model'!M4</f>
        <v>0</v>
      </c>
      <c r="G4">
        <f>'Financial Model'!N4</f>
        <v>0</v>
      </c>
      <c r="H4">
        <f>'Financial Model'!O4</f>
        <v>0</v>
      </c>
      <c r="I4">
        <f>'Financial Model'!P4</f>
        <v>0</v>
      </c>
      <c r="J4">
        <f>'Financial Model'!Q4</f>
        <v>0</v>
      </c>
      <c r="K4">
        <f>'Financial Model'!R4</f>
        <v>0</v>
      </c>
      <c r="L4">
        <f>'Financial Model'!S4</f>
        <v>0</v>
      </c>
      <c r="M4">
        <f>'Financial Model'!T4</f>
        <v>0</v>
      </c>
      <c r="N4">
        <f>'Financial Model'!U4</f>
        <v>0</v>
      </c>
      <c r="O4">
        <f>'Financial Model'!V4</f>
        <v>0</v>
      </c>
      <c r="P4">
        <f>'Financial Model'!W4</f>
        <v>0</v>
      </c>
      <c r="Q4">
        <f>'Financial Model'!X4</f>
        <v>0</v>
      </c>
      <c r="R4">
        <f>'Financial Model'!Y4</f>
        <v>0</v>
      </c>
      <c r="S4">
        <f>'Financial Model'!Z4</f>
        <v>0</v>
      </c>
      <c r="T4">
        <f>'Financial Model'!AA4</f>
        <v>0</v>
      </c>
      <c r="U4">
        <f>'Financial Model'!AB4</f>
        <v>0</v>
      </c>
    </row>
    <row r="5" spans="1:21" x14ac:dyDescent="0.2">
      <c r="A5">
        <f>'Financial Model'!H5</f>
        <v>0</v>
      </c>
      <c r="B5" t="str">
        <f>'Financial Model'!I5</f>
        <v>Jan</v>
      </c>
      <c r="C5">
        <f>'Financial Model'!J5</f>
        <v>0</v>
      </c>
      <c r="D5">
        <f>'Financial Model'!K5</f>
        <v>0</v>
      </c>
      <c r="E5">
        <f>'Financial Model'!L5</f>
        <v>0</v>
      </c>
      <c r="F5">
        <f>'Financial Model'!M5</f>
        <v>0</v>
      </c>
      <c r="G5">
        <f>'Financial Model'!N5</f>
        <v>0</v>
      </c>
      <c r="H5">
        <f>'Financial Model'!O5</f>
        <v>0</v>
      </c>
      <c r="I5">
        <f>'Financial Model'!P5</f>
        <v>0</v>
      </c>
      <c r="J5">
        <f>'Financial Model'!Q5</f>
        <v>0</v>
      </c>
      <c r="K5">
        <f>'Financial Model'!R5</f>
        <v>0</v>
      </c>
      <c r="L5">
        <f>'Financial Model'!S5</f>
        <v>0</v>
      </c>
      <c r="M5">
        <f>'Financial Model'!T5</f>
        <v>0</v>
      </c>
      <c r="N5">
        <f>'Financial Model'!U5</f>
        <v>0</v>
      </c>
      <c r="O5">
        <f>'Financial Model'!V5</f>
        <v>0</v>
      </c>
      <c r="P5">
        <f>'Financial Model'!W5</f>
        <v>0</v>
      </c>
      <c r="Q5">
        <f>'Financial Model'!X5</f>
        <v>0</v>
      </c>
      <c r="R5">
        <f>'Financial Model'!Y5</f>
        <v>0</v>
      </c>
      <c r="S5">
        <f>'Financial Model'!Z5</f>
        <v>0</v>
      </c>
      <c r="T5">
        <f>'Financial Model'!AA5</f>
        <v>0</v>
      </c>
      <c r="U5">
        <f>'Financial Model'!AB5</f>
        <v>0</v>
      </c>
    </row>
    <row r="6" spans="1:21" x14ac:dyDescent="0.2">
      <c r="A6" t="s">
        <v>74</v>
      </c>
      <c r="B6" t="str">
        <f>'Financial Model'!I6</f>
        <v>Month 1</v>
      </c>
      <c r="C6" t="str">
        <f>'Financial Model'!J6</f>
        <v>Month 2</v>
      </c>
      <c r="D6" t="str">
        <f>'Financial Model'!K6</f>
        <v>Month 3</v>
      </c>
      <c r="E6" t="str">
        <f>'Financial Model'!L6</f>
        <v>Month 4</v>
      </c>
      <c r="F6" t="str">
        <f>'Financial Model'!M6</f>
        <v>Month 5</v>
      </c>
      <c r="G6" t="str">
        <f>'Financial Model'!N6</f>
        <v>Month 6</v>
      </c>
      <c r="H6" t="str">
        <f>'Financial Model'!O6</f>
        <v>Month 7</v>
      </c>
      <c r="I6" t="str">
        <f>'Financial Model'!P6</f>
        <v>Month 8</v>
      </c>
      <c r="J6" t="str">
        <f>'Financial Model'!Q6</f>
        <v>Month 9</v>
      </c>
      <c r="K6" t="str">
        <f>'Financial Model'!R6</f>
        <v>Month 10</v>
      </c>
      <c r="L6" t="str">
        <f>'Financial Model'!S6</f>
        <v>Month 11</v>
      </c>
      <c r="M6" t="str">
        <f>'Financial Model'!T6</f>
        <v>Month 12</v>
      </c>
      <c r="N6" t="str">
        <f>'Financial Model'!U6</f>
        <v>Month 13</v>
      </c>
      <c r="O6" t="str">
        <f>'Financial Model'!V6</f>
        <v>Month 14</v>
      </c>
      <c r="P6" t="str">
        <f>'Financial Model'!W6</f>
        <v>Month 15</v>
      </c>
      <c r="Q6" t="str">
        <f>'Financial Model'!X6</f>
        <v>Month 16</v>
      </c>
      <c r="R6" t="str">
        <f>'Financial Model'!Y6</f>
        <v>Month 17</v>
      </c>
      <c r="S6" t="str">
        <f>'Financial Model'!Z6</f>
        <v>Month 18</v>
      </c>
      <c r="T6" t="str">
        <f>'Financial Model'!AA6</f>
        <v>Month 19</v>
      </c>
      <c r="U6" t="str">
        <f>'Financial Model'!AB6</f>
        <v>Month 20</v>
      </c>
    </row>
    <row r="7" spans="1:21" x14ac:dyDescent="0.2">
      <c r="A7" t="str">
        <f>'Financial Model'!H7</f>
        <v>Total Customer Count</v>
      </c>
      <c r="B7">
        <f>'Financial Model'!I7</f>
        <v>18</v>
      </c>
      <c r="C7">
        <f>'Financial Model'!J7</f>
        <v>20.65</v>
      </c>
      <c r="D7">
        <f>'Financial Model'!K7</f>
        <v>26.017499999999998</v>
      </c>
      <c r="E7">
        <f>'Financial Model'!L7</f>
        <v>29.366624999999996</v>
      </c>
      <c r="F7">
        <f>'Financial Model'!M7</f>
        <v>33.598293749999996</v>
      </c>
      <c r="G7">
        <f>'Financial Model'!N7</f>
        <v>38.473379062499994</v>
      </c>
      <c r="H7">
        <f>'Financial Model'!O7</f>
        <v>44.464872609374993</v>
      </c>
      <c r="I7">
        <f>'Financial Model'!P7</f>
        <v>51.739823978906244</v>
      </c>
      <c r="J7">
        <f>'Financial Model'!Q7</f>
        <v>60.550666779960927</v>
      </c>
      <c r="K7">
        <f>'Financial Model'!R7</f>
        <v>72.503143840962878</v>
      </c>
      <c r="L7">
        <f>'Financial Model'!S7</f>
        <v>88.352000168914728</v>
      </c>
      <c r="M7">
        <f>'Financial Model'!T7</f>
        <v>110.17752730446898</v>
      </c>
      <c r="N7">
        <f>'Financial Model'!U7</f>
        <v>134.21389341924552</v>
      </c>
      <c r="O7">
        <f>'Financial Model'!V7</f>
        <v>161.48022760028323</v>
      </c>
      <c r="P7">
        <f>'Financial Model'!W7</f>
        <v>193.57539202648303</v>
      </c>
      <c r="Q7">
        <f>'Financial Model'!X7</f>
        <v>231.24154686003968</v>
      </c>
      <c r="R7">
        <f>'Financial Model'!Y7</f>
        <v>273.92892594439604</v>
      </c>
      <c r="S7">
        <f>'Financial Model'!Z7</f>
        <v>322.61935453863839</v>
      </c>
      <c r="T7">
        <f>'Financial Model'!AA7</f>
        <v>378.23329293688789</v>
      </c>
      <c r="U7">
        <f>'Financial Model'!AB7</f>
        <v>441.82827033400207</v>
      </c>
    </row>
    <row r="8" spans="1:21" x14ac:dyDescent="0.2">
      <c r="A8" t="str">
        <f>'Financial Model'!H8</f>
        <v>Total Recurring Monthly Revenue</v>
      </c>
      <c r="B8">
        <f>'Financial Model'!I8</f>
        <v>13800</v>
      </c>
      <c r="C8">
        <f>'Financial Model'!J8</f>
        <v>23765</v>
      </c>
      <c r="D8">
        <f>'Financial Model'!K8</f>
        <v>43386.241525423728</v>
      </c>
      <c r="E8">
        <f>'Financial Model'!L8</f>
        <v>53119.271301686604</v>
      </c>
      <c r="F8">
        <f>'Financial Model'!M8</f>
        <v>64621.846951044106</v>
      </c>
      <c r="G8">
        <f>'Financial Model'!N8</f>
        <v>77564.821824021506</v>
      </c>
      <c r="H8">
        <f>'Financial Model'!O8</f>
        <v>93090.439162160154</v>
      </c>
      <c r="I8">
        <f>'Financial Model'!P8</f>
        <v>111621.66254045507</v>
      </c>
      <c r="J8">
        <f>'Financial Model'!Q8</f>
        <v>133767.1452258827</v>
      </c>
      <c r="K8">
        <f>'Financial Model'!R8</f>
        <v>163383.16561432742</v>
      </c>
      <c r="L8">
        <f>'Financial Model'!S8</f>
        <v>202309.95264291283</v>
      </c>
      <c r="M8">
        <f>'Financial Model'!T8</f>
        <v>257950.25425908354</v>
      </c>
      <c r="N8">
        <f>'Financial Model'!U8</f>
        <v>319010.58808566624</v>
      </c>
      <c r="O8">
        <f>'Financial Model'!V8</f>
        <v>387951.76031181519</v>
      </c>
      <c r="P8">
        <f>'Financial Model'!W8</f>
        <v>466615.78603798815</v>
      </c>
      <c r="Q8">
        <f>'Financial Model'!X8</f>
        <v>556310.20783676591</v>
      </c>
      <c r="R8">
        <f>'Financial Model'!Y8</f>
        <v>658073.32664091967</v>
      </c>
      <c r="S8">
        <f>'Financial Model'!Z8</f>
        <v>774258.65892756754</v>
      </c>
      <c r="T8">
        <f>'Financial Model'!AA8</f>
        <v>907072.28654460551</v>
      </c>
      <c r="U8">
        <f>'Financial Model'!AB8</f>
        <v>1059050.8364316346</v>
      </c>
    </row>
    <row r="9" spans="1:21" x14ac:dyDescent="0.2">
      <c r="A9" t="str">
        <f>'Financial Model'!H9</f>
        <v>Total Revenue Collected</v>
      </c>
      <c r="B9">
        <f>'Financial Model'!I9</f>
        <v>13800</v>
      </c>
      <c r="C9">
        <f>'Financial Model'!J9</f>
        <v>23765</v>
      </c>
      <c r="D9">
        <f>'Financial Model'!K9</f>
        <v>43386.241525423728</v>
      </c>
      <c r="E9">
        <f>'Financial Model'!L9</f>
        <v>53119.271301686604</v>
      </c>
      <c r="F9">
        <f>'Financial Model'!M9</f>
        <v>64621.846951044106</v>
      </c>
      <c r="G9">
        <f>'Financial Model'!N9</f>
        <v>77564.821824021506</v>
      </c>
      <c r="H9">
        <f>'Financial Model'!O9</f>
        <v>93090.439162160154</v>
      </c>
      <c r="I9">
        <f>'Financial Model'!P9</f>
        <v>111621.66254045507</v>
      </c>
      <c r="J9">
        <f>'Financial Model'!Q9</f>
        <v>133767.1452258827</v>
      </c>
      <c r="K9">
        <f>'Financial Model'!R9</f>
        <v>163383.16561432742</v>
      </c>
      <c r="L9">
        <f>'Financial Model'!S9</f>
        <v>202309.95264291283</v>
      </c>
      <c r="M9">
        <f>'Financial Model'!T9</f>
        <v>257950.25425908354</v>
      </c>
      <c r="N9">
        <f>'Financial Model'!U9</f>
        <v>319010.58808566624</v>
      </c>
      <c r="O9">
        <f>'Financial Model'!V9</f>
        <v>387951.76031181519</v>
      </c>
      <c r="P9">
        <f>'Financial Model'!W9</f>
        <v>466615.78603798815</v>
      </c>
      <c r="Q9">
        <f>'Financial Model'!X9</f>
        <v>556310.20783676591</v>
      </c>
      <c r="R9">
        <f>'Financial Model'!Y9</f>
        <v>658073.32664091967</v>
      </c>
      <c r="S9">
        <f>'Financial Model'!Z9</f>
        <v>774258.65892756754</v>
      </c>
      <c r="T9">
        <f>'Financial Model'!AA9</f>
        <v>907072.28654460551</v>
      </c>
      <c r="U9">
        <f>'Financial Model'!AB9</f>
        <v>1059050.8364316346</v>
      </c>
    </row>
    <row r="10" spans="1:21" x14ac:dyDescent="0.2">
      <c r="A10" t="str">
        <f>'Financial Model'!H10</f>
        <v>COGS</v>
      </c>
      <c r="B10">
        <f>'Financial Model'!I10</f>
        <v>-13755.919999999998</v>
      </c>
      <c r="C10">
        <f>'Financial Model'!J10</f>
        <v>-13993.544749999999</v>
      </c>
      <c r="D10">
        <f>'Financial Model'!K10</f>
        <v>-16362.575118749999</v>
      </c>
      <c r="E10">
        <f>'Financial Model'!L10</f>
        <v>-17249.869121718748</v>
      </c>
      <c r="F10">
        <f>'Financial Model'!M10</f>
        <v>-18557.870162261715</v>
      </c>
      <c r="G10">
        <f>'Financial Model'!N10</f>
        <v>-20030.084375693255</v>
      </c>
      <c r="H10">
        <f>'Financial Model'!O10</f>
        <v>-22154.147094679338</v>
      </c>
      <c r="I10">
        <f>'Financial Model'!P10</f>
        <v>-24655.97350355882</v>
      </c>
      <c r="J10">
        <f>'Financial Model'!Q10</f>
        <v>-27609.94011896279</v>
      </c>
      <c r="K10">
        <f>'Financial Model'!R10</f>
        <v>-32708.172631530862</v>
      </c>
      <c r="L10">
        <f>'Financial Model'!S10</f>
        <v>-39256.25615979133</v>
      </c>
      <c r="M10">
        <f>'Financial Model'!T10</f>
        <v>-47687.155539999978</v>
      </c>
      <c r="N10">
        <f>'Financial Model'!U10</f>
        <v>-53281.307550808153</v>
      </c>
      <c r="O10">
        <f>'Financial Model'!V10</f>
        <v>-59675.609330232779</v>
      </c>
      <c r="P10">
        <f>'Financial Model'!W10</f>
        <v>-69317.752799442213</v>
      </c>
      <c r="Q10">
        <f>'Financial Model'!X10</f>
        <v>-80831.000502572584</v>
      </c>
      <c r="R10">
        <f>'Financial Model'!Y10</f>
        <v>-91234.893129260599</v>
      </c>
      <c r="S10">
        <f>'Financial Model'!Z10</f>
        <v>-103156.3507137344</v>
      </c>
      <c r="T10">
        <f>'Financial Model'!AA10</f>
        <v>-116821.93252625635</v>
      </c>
      <c r="U10">
        <f>'Financial Model'!AB10</f>
        <v>-132492.15484079317</v>
      </c>
    </row>
    <row r="11" spans="1:21" x14ac:dyDescent="0.2">
      <c r="A11" t="str">
        <f>'Financial Model'!H12</f>
        <v>Working Capital</v>
      </c>
      <c r="B11">
        <f>'Financial Model'!I12</f>
        <v>0</v>
      </c>
      <c r="C11">
        <f>'Financial Model'!J12</f>
        <v>-107598.58659090914</v>
      </c>
      <c r="D11">
        <f>'Financial Model'!K12</f>
        <v>-21503.517920454644</v>
      </c>
      <c r="E11">
        <f>'Financial Model'!L12</f>
        <v>355583.8787521281</v>
      </c>
      <c r="F11">
        <f>'Financial Model'!M12</f>
        <v>300816.98229009309</v>
      </c>
      <c r="G11">
        <f>'Financial Model'!N12</f>
        <v>251314.1619024596</v>
      </c>
      <c r="H11">
        <f>'Financial Model'!O12</f>
        <v>193526.4395697623</v>
      </c>
      <c r="I11">
        <f>'Financial Model'!P12</f>
        <v>140781.07147937993</v>
      </c>
      <c r="J11">
        <f>'Financial Model'!Q12</f>
        <v>97288.015159505943</v>
      </c>
      <c r="K11">
        <f>'Financial Model'!R12</f>
        <v>68742.603135084035</v>
      </c>
      <c r="L11">
        <f>'Financial Model'!S12</f>
        <v>36187.950607132982</v>
      </c>
      <c r="M11">
        <f>'Financial Model'!T12</f>
        <v>26121.903230309254</v>
      </c>
      <c r="N11">
        <f>'Financial Model'!U12</f>
        <v>23679.074930868548</v>
      </c>
      <c r="O11">
        <f>'Financial Model'!V12</f>
        <v>75086.860629787814</v>
      </c>
      <c r="P11">
        <f>'Financial Model'!W12</f>
        <v>163137.45960052146</v>
      </c>
      <c r="Q11">
        <f>'Financial Model'!X12</f>
        <v>307948.419316518</v>
      </c>
      <c r="R11">
        <f>'Financial Model'!Y12</f>
        <v>492605.77728016453</v>
      </c>
      <c r="S11">
        <f>'Financial Model'!Z12</f>
        <v>552819.98053171614</v>
      </c>
      <c r="T11">
        <f>'Financial Model'!AA12</f>
        <v>675537.01851888571</v>
      </c>
      <c r="U11">
        <f>'Financial Model'!AB12</f>
        <v>885699.7512568807</v>
      </c>
    </row>
    <row r="12" spans="1:21" x14ac:dyDescent="0.2">
      <c r="A12" t="str">
        <f>'Financial Model'!H13</f>
        <v>Capital Raise</v>
      </c>
      <c r="B12">
        <f>'Financial Model'!I13</f>
        <v>0</v>
      </c>
      <c r="C12">
        <f>'Financial Model'!J13</f>
        <v>215000</v>
      </c>
      <c r="D12">
        <f>'Financial Model'!K13</f>
        <v>500000</v>
      </c>
      <c r="E12">
        <f>'Financial Model'!L13</f>
        <v>60000</v>
      </c>
      <c r="F12">
        <f>'Financial Model'!M13</f>
        <v>60000</v>
      </c>
      <c r="G12">
        <f>'Financial Model'!N13</f>
        <v>115000</v>
      </c>
      <c r="H12">
        <f>'Financial Model'!O13</f>
        <v>150000</v>
      </c>
      <c r="I12">
        <f>'Financial Model'!P13</f>
        <v>200000</v>
      </c>
      <c r="J12">
        <f>'Financial Model'!Q13</f>
        <v>200000</v>
      </c>
      <c r="K12">
        <f>'Financial Model'!R13</f>
        <v>200000</v>
      </c>
      <c r="L12">
        <f>'Financial Model'!S13</f>
        <v>200000</v>
      </c>
      <c r="M12">
        <f>'Financial Model'!T13</f>
        <v>200000</v>
      </c>
      <c r="N12">
        <f>'Financial Model'!U13</f>
        <v>200000</v>
      </c>
      <c r="O12">
        <f>'Financial Model'!V13</f>
        <v>200000</v>
      </c>
      <c r="P12">
        <f>'Financial Model'!W13</f>
        <v>200000</v>
      </c>
      <c r="Q12">
        <f>'Financial Model'!X13</f>
        <v>200000</v>
      </c>
      <c r="R12">
        <f>'Financial Model'!Y13</f>
        <v>0</v>
      </c>
      <c r="S12">
        <f>'Financial Model'!Z13</f>
        <v>0</v>
      </c>
      <c r="T12">
        <f>'Financial Model'!AA13</f>
        <v>0</v>
      </c>
      <c r="U12">
        <f>'Financial Model'!AB13</f>
        <v>0</v>
      </c>
    </row>
    <row r="13" spans="1:21" x14ac:dyDescent="0.2">
      <c r="A13" t="str">
        <f>'Financial Model'!H14</f>
        <v>Inhouse Capital Requirement</v>
      </c>
      <c r="B13">
        <f>'Financial Model'!I14</f>
        <v>-107598.58659090914</v>
      </c>
      <c r="C13">
        <f>'Financial Model'!J14</f>
        <v>-21503.517920454644</v>
      </c>
      <c r="D13">
        <f>'Financial Model'!K14</f>
        <v>355583.8787521281</v>
      </c>
      <c r="E13">
        <f>'Financial Model'!L14</f>
        <v>300816.98229009309</v>
      </c>
      <c r="F13">
        <f>'Financial Model'!M14</f>
        <v>251314.1619024596</v>
      </c>
      <c r="G13">
        <f>'Financial Model'!N14</f>
        <v>193526.4395697623</v>
      </c>
      <c r="H13">
        <f>'Financial Model'!O14</f>
        <v>140781.07147937993</v>
      </c>
      <c r="I13">
        <f>'Financial Model'!P14</f>
        <v>97288.015159505943</v>
      </c>
      <c r="J13">
        <f>'Financial Model'!Q14</f>
        <v>68742.603135084035</v>
      </c>
      <c r="K13">
        <f>'Financial Model'!R14</f>
        <v>36187.950607132982</v>
      </c>
      <c r="L13">
        <f>'Financial Model'!S14</f>
        <v>26121.903230309254</v>
      </c>
      <c r="M13">
        <f>'Financial Model'!T14</f>
        <v>23679.074930868548</v>
      </c>
      <c r="N13">
        <f>'Financial Model'!U14</f>
        <v>75086.860629787814</v>
      </c>
      <c r="O13">
        <f>'Financial Model'!V14</f>
        <v>163137.45960052146</v>
      </c>
      <c r="P13">
        <f>'Financial Model'!W14</f>
        <v>307948.419316518</v>
      </c>
      <c r="Q13">
        <f>'Financial Model'!X14</f>
        <v>492605.77728016453</v>
      </c>
      <c r="R13">
        <f>'Financial Model'!Y14</f>
        <v>552819.98053171614</v>
      </c>
      <c r="S13">
        <f>'Financial Model'!Z14</f>
        <v>675537.01851888571</v>
      </c>
      <c r="T13">
        <f>'Financial Model'!AA14</f>
        <v>885699.7512568807</v>
      </c>
      <c r="U13">
        <f>'Financial Model'!AB14</f>
        <v>1172974.4194861692</v>
      </c>
    </row>
    <row r="14" spans="1:21" x14ac:dyDescent="0.2">
      <c r="A14" t="str">
        <f>'Financial Model'!H15</f>
        <v>Total Creation Multiple</v>
      </c>
      <c r="B14">
        <f>'Financial Model'!I15</f>
        <v>0</v>
      </c>
      <c r="C14">
        <f>'Financial Model'!J15</f>
        <v>0</v>
      </c>
      <c r="D14">
        <f>'Financial Model'!K15</f>
        <v>0</v>
      </c>
      <c r="E14">
        <f>'Financial Model'!L15</f>
        <v>0</v>
      </c>
      <c r="F14">
        <f>'Financial Model'!M15</f>
        <v>0</v>
      </c>
      <c r="G14">
        <f>'Financial Model'!N15</f>
        <v>0</v>
      </c>
      <c r="H14">
        <f>'Financial Model'!O15</f>
        <v>0</v>
      </c>
      <c r="I14">
        <f>'Financial Model'!P15</f>
        <v>0</v>
      </c>
      <c r="J14">
        <f>'Financial Model'!Q15</f>
        <v>0</v>
      </c>
      <c r="K14">
        <f>'Financial Model'!R15</f>
        <v>0</v>
      </c>
      <c r="L14">
        <f>'Financial Model'!S15</f>
        <v>0</v>
      </c>
      <c r="M14">
        <f>'Financial Model'!T15</f>
        <v>0</v>
      </c>
      <c r="N14">
        <f>'Financial Model'!U15</f>
        <v>0</v>
      </c>
      <c r="O14">
        <f>'Financial Model'!V15</f>
        <v>0</v>
      </c>
      <c r="P14">
        <f>'Financial Model'!W15</f>
        <v>0</v>
      </c>
      <c r="Q14">
        <f>'Financial Model'!X15</f>
        <v>0</v>
      </c>
      <c r="R14">
        <f>'Financial Model'!Y15</f>
        <v>0</v>
      </c>
      <c r="S14">
        <f>'Financial Model'!Z15</f>
        <v>0</v>
      </c>
      <c r="T14">
        <f>'Financial Model'!AA15</f>
        <v>0</v>
      </c>
      <c r="U14">
        <f>'Financial Model'!AB15</f>
        <v>0</v>
      </c>
    </row>
    <row r="15" spans="1:21" x14ac:dyDescent="0.2">
      <c r="A15" t="str">
        <f>'Financial Model'!H16</f>
        <v>Revenue Summary</v>
      </c>
      <c r="B15">
        <f>'Financial Model'!I16</f>
        <v>1</v>
      </c>
      <c r="C15">
        <f>'Financial Model'!J16</f>
        <v>2</v>
      </c>
      <c r="D15">
        <f>'Financial Model'!K16</f>
        <v>3</v>
      </c>
      <c r="E15">
        <f>'Financial Model'!L16</f>
        <v>4</v>
      </c>
      <c r="F15">
        <f>'Financial Model'!M16</f>
        <v>5</v>
      </c>
      <c r="G15">
        <f>'Financial Model'!N16</f>
        <v>6</v>
      </c>
      <c r="H15">
        <f>'Financial Model'!O16</f>
        <v>7</v>
      </c>
      <c r="I15">
        <f>'Financial Model'!P16</f>
        <v>8</v>
      </c>
      <c r="J15">
        <f>'Financial Model'!Q16</f>
        <v>9</v>
      </c>
      <c r="K15">
        <f>'Financial Model'!R16</f>
        <v>10</v>
      </c>
      <c r="L15">
        <f>'Financial Model'!S16</f>
        <v>11</v>
      </c>
      <c r="M15">
        <f>'Financial Model'!T16</f>
        <v>12</v>
      </c>
      <c r="N15">
        <f>'Financial Model'!U16</f>
        <v>13</v>
      </c>
      <c r="O15">
        <f>'Financial Model'!V16</f>
        <v>14</v>
      </c>
      <c r="P15">
        <f>'Financial Model'!W16</f>
        <v>15</v>
      </c>
      <c r="Q15">
        <f>'Financial Model'!X16</f>
        <v>16</v>
      </c>
      <c r="R15">
        <f>'Financial Model'!Y16</f>
        <v>17</v>
      </c>
      <c r="S15">
        <f>'Financial Model'!Z16</f>
        <v>18</v>
      </c>
      <c r="T15">
        <f>'Financial Model'!AA16</f>
        <v>19</v>
      </c>
      <c r="U15">
        <f>'Financial Model'!AB16</f>
        <v>20</v>
      </c>
    </row>
    <row r="16" spans="1:21" x14ac:dyDescent="0.2">
      <c r="A16" t="str">
        <f>'Financial Model'!H17</f>
        <v>Total Accounts</v>
      </c>
      <c r="B16">
        <f>'Financial Model'!I17</f>
        <v>15</v>
      </c>
      <c r="C16">
        <f>'Financial Model'!J17</f>
        <v>16.649999999999999</v>
      </c>
      <c r="D16">
        <f>'Financial Model'!K17</f>
        <v>19.017499999999998</v>
      </c>
      <c r="E16">
        <f>'Financial Model'!L17</f>
        <v>23.666624999999996</v>
      </c>
      <c r="F16">
        <f>'Financial Model'!M17</f>
        <v>27.043293749999997</v>
      </c>
      <c r="G16">
        <f>'Financial Model'!N17</f>
        <v>30.935129062499996</v>
      </c>
      <c r="H16">
        <f>'Financial Model'!O17</f>
        <v>35.418972609374997</v>
      </c>
      <c r="I16">
        <f>'Financial Model'!P17</f>
        <v>40.884743978906243</v>
      </c>
      <c r="J16">
        <f>'Financial Model'!Q17</f>
        <v>47.524570779960932</v>
      </c>
      <c r="K16">
        <f>'Financial Model'!R17</f>
        <v>55.569219040962878</v>
      </c>
      <c r="L16">
        <f>'Financial Model'!S17</f>
        <v>66.337897928914728</v>
      </c>
      <c r="M16">
        <f>'Financial Model'!T17</f>
        <v>80.632284824468982</v>
      </c>
      <c r="N16">
        <f>'Financial Model'!U17</f>
        <v>100.23686456724553</v>
      </c>
      <c r="O16">
        <f>'Financial Model'!V17</f>
        <v>122.40664442048325</v>
      </c>
      <c r="P16">
        <f>'Financial Model'!W17</f>
        <v>147.54517874329906</v>
      </c>
      <c r="Q16">
        <f>'Financial Model'!X17</f>
        <v>176.99209043268129</v>
      </c>
      <c r="R16">
        <f>'Financial Model'!Y17</f>
        <v>211.54205105293391</v>
      </c>
      <c r="S16">
        <f>'Financial Model'!Z17</f>
        <v>250.87444841345692</v>
      </c>
      <c r="T16">
        <f>'Financial Model'!AA17</f>
        <v>295.72665089292923</v>
      </c>
      <c r="U16">
        <f>'Financial Model'!AB17</f>
        <v>346.94563198344963</v>
      </c>
    </row>
    <row r="17" spans="1:21" x14ac:dyDescent="0.2">
      <c r="A17" t="str">
        <f>'Financial Model'!H18</f>
        <v>Montly Accounts Sold</v>
      </c>
      <c r="B17">
        <f>'Financial Model'!I18</f>
        <v>2</v>
      </c>
      <c r="C17">
        <f>'Financial Model'!J18</f>
        <v>2</v>
      </c>
      <c r="D17">
        <f>'Financial Model'!K18</f>
        <v>3</v>
      </c>
      <c r="E17">
        <f>'Financial Model'!L18</f>
        <v>3.3000000000000003</v>
      </c>
      <c r="F17">
        <f>'Financial Model'!M18</f>
        <v>3.7949999999999999</v>
      </c>
      <c r="G17">
        <f>'Financial Model'!N18</f>
        <v>4.3642499999999993</v>
      </c>
      <c r="H17">
        <f>'Financial Model'!O18</f>
        <v>5.237099999999999</v>
      </c>
      <c r="I17">
        <f>'Financial Model'!P18</f>
        <v>6.2845199999999988</v>
      </c>
      <c r="J17">
        <f>'Financial Model'!Q18</f>
        <v>7.5414239999999984</v>
      </c>
      <c r="K17">
        <f>'Financial Model'!R18</f>
        <v>9.8038511999999987</v>
      </c>
      <c r="L17">
        <f>'Financial Model'!S18</f>
        <v>12.745006559999998</v>
      </c>
      <c r="M17">
        <f>'Financial Model'!T18</f>
        <v>16.568508527999999</v>
      </c>
      <c r="N17">
        <f>'Financial Model'!U18</f>
        <v>19.053784807199996</v>
      </c>
      <c r="O17">
        <f>'Financial Model'!V18</f>
        <v>21.911852528279994</v>
      </c>
      <c r="P17">
        <f>'Financial Model'!W18</f>
        <v>26.294223033935992</v>
      </c>
      <c r="Q17">
        <f>'Financial Model'!X18</f>
        <v>31.553067640723189</v>
      </c>
      <c r="R17">
        <f>'Financial Model'!Y18</f>
        <v>36.286027786831667</v>
      </c>
      <c r="S17">
        <f>'Financial Model'!Z18</f>
        <v>41.728931954856414</v>
      </c>
      <c r="T17">
        <f>'Financial Model'!AA18</f>
        <v>47.98827174808487</v>
      </c>
      <c r="U17">
        <f>'Financial Model'!AB18</f>
        <v>55.186512510297597</v>
      </c>
    </row>
    <row r="18" spans="1:21" x14ac:dyDescent="0.2">
      <c r="A18" t="str">
        <f>'Financial Model'!H19</f>
        <v>Contract Account Sold</v>
      </c>
      <c r="B18">
        <f>'Financial Model'!I19</f>
        <v>1</v>
      </c>
      <c r="C18">
        <f>'Financial Model'!J19</f>
        <v>2</v>
      </c>
      <c r="D18">
        <f>'Financial Model'!K19</f>
        <v>4</v>
      </c>
      <c r="E18">
        <f>'Financial Model'!L19</f>
        <v>2.4</v>
      </c>
      <c r="F18">
        <f>'Financial Model'!M19</f>
        <v>2.76</v>
      </c>
      <c r="G18">
        <f>'Financial Model'!N19</f>
        <v>3.1739999999999995</v>
      </c>
      <c r="H18">
        <f>'Financial Model'!O19</f>
        <v>3.8087999999999993</v>
      </c>
      <c r="I18">
        <f>'Financial Model'!P19</f>
        <v>4.5705599999999986</v>
      </c>
      <c r="J18">
        <f>'Financial Model'!Q19</f>
        <v>5.484671999999998</v>
      </c>
      <c r="K18">
        <f>'Financial Model'!R19</f>
        <v>7.1300735999999976</v>
      </c>
      <c r="L18">
        <f>'Financial Model'!S19</f>
        <v>9.2690956799999977</v>
      </c>
      <c r="M18">
        <f>'Financial Model'!T19</f>
        <v>12.976733951999996</v>
      </c>
      <c r="N18">
        <f>'Financial Model'!U19</f>
        <v>14.923244044799995</v>
      </c>
      <c r="O18">
        <f>'Financial Model'!V19</f>
        <v>17.161730651519992</v>
      </c>
      <c r="P18">
        <f>'Financial Model'!W19</f>
        <v>19.73599024924799</v>
      </c>
      <c r="Q18">
        <f>'Financial Model'!X19</f>
        <v>22.696388786635186</v>
      </c>
      <c r="R18">
        <f>'Financial Model'!Y19</f>
        <v>26.100847104630461</v>
      </c>
      <c r="S18">
        <f>'Financial Model'!Z19</f>
        <v>30.015974170325027</v>
      </c>
      <c r="T18">
        <f>'Financial Model'!AA19</f>
        <v>34.51837029587378</v>
      </c>
      <c r="U18">
        <f>'Financial Model'!AB19</f>
        <v>39.696125840254844</v>
      </c>
    </row>
    <row r="19" spans="1:21" x14ac:dyDescent="0.2">
      <c r="A19" t="str">
        <f>'Financial Model'!H20</f>
        <v>Total Paid Accounts Onboarded</v>
      </c>
      <c r="B19">
        <f>'Financial Model'!I20</f>
        <v>3</v>
      </c>
      <c r="C19">
        <f>'Financial Model'!J20</f>
        <v>4</v>
      </c>
      <c r="D19">
        <f>'Financial Model'!K20</f>
        <v>7</v>
      </c>
      <c r="E19">
        <f>'Financial Model'!L20</f>
        <v>5.7</v>
      </c>
      <c r="F19">
        <f>'Financial Model'!M20</f>
        <v>6.5549999999999997</v>
      </c>
      <c r="G19">
        <f>'Financial Model'!N20</f>
        <v>7.5382499999999988</v>
      </c>
      <c r="H19">
        <f>'Financial Model'!O20</f>
        <v>9.0458999999999978</v>
      </c>
      <c r="I19">
        <f>'Financial Model'!P20</f>
        <v>10.855079999999997</v>
      </c>
      <c r="J19">
        <f>'Financial Model'!Q20</f>
        <v>13.026095999999995</v>
      </c>
      <c r="K19">
        <f>'Financial Model'!R20</f>
        <v>16.933924799999996</v>
      </c>
      <c r="L19">
        <f>'Financial Model'!S20</f>
        <v>22.014102239999996</v>
      </c>
      <c r="M19">
        <f>'Financial Model'!T20</f>
        <v>29.545242479999995</v>
      </c>
      <c r="N19">
        <f>'Financial Model'!U20</f>
        <v>33.977028851999989</v>
      </c>
      <c r="O19">
        <f>'Financial Model'!V20</f>
        <v>39.073583179799982</v>
      </c>
      <c r="P19">
        <f>'Financial Model'!W20</f>
        <v>46.030213283183983</v>
      </c>
      <c r="Q19">
        <f>'Financial Model'!X20</f>
        <v>54.249456427358375</v>
      </c>
      <c r="R19">
        <f>'Financial Model'!Y20</f>
        <v>62.386874891462128</v>
      </c>
      <c r="S19">
        <f>'Financial Model'!Z20</f>
        <v>71.744906125181444</v>
      </c>
      <c r="T19">
        <f>'Financial Model'!AA20</f>
        <v>82.506642043958649</v>
      </c>
      <c r="U19">
        <f>'Financial Model'!AB20</f>
        <v>94.88263835055244</v>
      </c>
    </row>
    <row r="20" spans="1:21" x14ac:dyDescent="0.2">
      <c r="A20" t="str">
        <f>'Financial Model'!H21</f>
        <v>Average MMR</v>
      </c>
      <c r="B20">
        <f>'Financial Model'!I21</f>
        <v>520</v>
      </c>
      <c r="C20">
        <f>'Financial Model'!J21</f>
        <v>766.66666666666663</v>
      </c>
      <c r="D20">
        <f>'Financial Model'!K21</f>
        <v>1150.8474576271187</v>
      </c>
      <c r="E20">
        <f>'Financial Model'!L21</f>
        <v>1667.5791880627935</v>
      </c>
      <c r="F20">
        <f>'Financial Model'!M21</f>
        <v>1808.831328138205</v>
      </c>
      <c r="G20">
        <f>'Financial Model'!N21</f>
        <v>1923.3669254720446</v>
      </c>
      <c r="H20">
        <f>'Financial Model'!O21</f>
        <v>2016.0647105630487</v>
      </c>
      <c r="I20">
        <f>'Financial Model'!P21</f>
        <v>2093.5726046032328</v>
      </c>
      <c r="J20">
        <f>'Financial Model'!Q21</f>
        <v>2157.3645589896478</v>
      </c>
      <c r="K20">
        <f>'Financial Model'!R21</f>
        <v>2209.1770799484007</v>
      </c>
      <c r="L20">
        <f>'Financial Model'!S21</f>
        <v>2253.4631873717326</v>
      </c>
      <c r="M20">
        <f>'Financial Model'!T21</f>
        <v>2289.8174603419156</v>
      </c>
      <c r="N20">
        <f>'Financial Model'!U21</f>
        <v>2341.2238463679937</v>
      </c>
      <c r="O20">
        <f>'Financial Model'!V21</f>
        <v>2376.882004973726</v>
      </c>
      <c r="P20">
        <f>'Financial Model'!W21</f>
        <v>2402.4722164259247</v>
      </c>
      <c r="Q20">
        <f>'Financial Model'!X21</f>
        <v>2410.5119000567515</v>
      </c>
      <c r="R20">
        <f>'Financial Model'!Y21</f>
        <v>2405.7537038250139</v>
      </c>
      <c r="S20">
        <f>'Financial Model'!Z21</f>
        <v>2402.3506257039094</v>
      </c>
      <c r="T20">
        <f>'Financial Model'!AA21</f>
        <v>2399.91385524528</v>
      </c>
      <c r="U20">
        <f>'Financial Model'!AB21</f>
        <v>2398.1820307287435</v>
      </c>
    </row>
    <row r="21" spans="1:21" x14ac:dyDescent="0.2">
      <c r="A21" t="str">
        <f>'Financial Model'!H22</f>
        <v>New Month-to-Month Average</v>
      </c>
      <c r="B21">
        <f>'Financial Model'!I22</f>
        <v>500</v>
      </c>
      <c r="C21">
        <f>'Financial Model'!J22</f>
        <v>500</v>
      </c>
      <c r="D21">
        <f>'Financial Model'!K22</f>
        <v>500</v>
      </c>
      <c r="E21">
        <f>'Financial Model'!L22</f>
        <v>501</v>
      </c>
      <c r="F21">
        <f>'Financial Model'!M22</f>
        <v>502</v>
      </c>
      <c r="G21">
        <f>'Financial Model'!N22</f>
        <v>503</v>
      </c>
      <c r="H21">
        <f>'Financial Model'!O22</f>
        <v>504</v>
      </c>
      <c r="I21">
        <f>'Financial Model'!P22</f>
        <v>505</v>
      </c>
      <c r="J21">
        <f>'Financial Model'!Q22</f>
        <v>506</v>
      </c>
      <c r="K21">
        <f>'Financial Model'!R22</f>
        <v>507</v>
      </c>
      <c r="L21">
        <f>'Financial Model'!S22</f>
        <v>508</v>
      </c>
      <c r="M21">
        <f>'Financial Model'!T22</f>
        <v>509</v>
      </c>
      <c r="N21">
        <f>'Financial Model'!U22</f>
        <v>510</v>
      </c>
      <c r="O21">
        <f>'Financial Model'!V22</f>
        <v>511</v>
      </c>
      <c r="P21">
        <f>'Financial Model'!W22</f>
        <v>512</v>
      </c>
      <c r="Q21">
        <f>'Financial Model'!X22</f>
        <v>513</v>
      </c>
      <c r="R21">
        <f>'Financial Model'!Y22</f>
        <v>514</v>
      </c>
      <c r="S21">
        <f>'Financial Model'!Z22</f>
        <v>515</v>
      </c>
      <c r="T21">
        <f>'Financial Model'!AA22</f>
        <v>516</v>
      </c>
      <c r="U21">
        <f>'Financial Model'!AB22</f>
        <v>517</v>
      </c>
    </row>
    <row r="22" spans="1:21" x14ac:dyDescent="0.2">
      <c r="A22" t="str">
        <f>'Financial Model'!H23</f>
        <v>New Contract Average</v>
      </c>
      <c r="B22">
        <f>'Financial Model'!I23</f>
        <v>5000</v>
      </c>
      <c r="C22">
        <f>'Financial Model'!J23</f>
        <v>5000</v>
      </c>
      <c r="D22">
        <f>'Financial Model'!K23</f>
        <v>5000</v>
      </c>
      <c r="E22">
        <f>'Financial Model'!L23</f>
        <v>5000</v>
      </c>
      <c r="F22">
        <f>'Financial Model'!M23</f>
        <v>5000</v>
      </c>
      <c r="G22">
        <f>'Financial Model'!N23</f>
        <v>5000</v>
      </c>
      <c r="H22">
        <f>'Financial Model'!O23</f>
        <v>5000</v>
      </c>
      <c r="I22">
        <f>'Financial Model'!P23</f>
        <v>5000</v>
      </c>
      <c r="J22">
        <f>'Financial Model'!Q23</f>
        <v>5000</v>
      </c>
      <c r="K22">
        <f>'Financial Model'!R23</f>
        <v>5000</v>
      </c>
      <c r="L22">
        <f>'Financial Model'!S23</f>
        <v>5000</v>
      </c>
      <c r="M22">
        <f>'Financial Model'!T23</f>
        <v>5000</v>
      </c>
      <c r="N22">
        <f>'Financial Model'!U23</f>
        <v>5000</v>
      </c>
      <c r="O22">
        <f>'Financial Model'!V23</f>
        <v>5000</v>
      </c>
      <c r="P22">
        <f>'Financial Model'!W23</f>
        <v>5000</v>
      </c>
      <c r="Q22">
        <f>'Financial Model'!X23</f>
        <v>5000</v>
      </c>
      <c r="R22">
        <f>'Financial Model'!Y23</f>
        <v>5000</v>
      </c>
      <c r="S22">
        <f>'Financial Model'!Z23</f>
        <v>5000</v>
      </c>
      <c r="T22">
        <f>'Financial Model'!AA23</f>
        <v>5000</v>
      </c>
      <c r="U22">
        <f>'Financial Model'!AB23</f>
        <v>5000</v>
      </c>
    </row>
    <row r="23" spans="1:21" x14ac:dyDescent="0.2">
      <c r="A23" t="str">
        <f>'Financial Model'!H24</f>
        <v>New Montly Account Revenue</v>
      </c>
      <c r="B23">
        <f>'Financial Model'!I24</f>
        <v>6000</v>
      </c>
      <c r="C23">
        <f>'Financial Model'!J24</f>
        <v>11000</v>
      </c>
      <c r="D23">
        <f>'Financial Model'!K24</f>
        <v>21500</v>
      </c>
      <c r="E23">
        <f>'Financial Model'!L24</f>
        <v>13653.3</v>
      </c>
      <c r="F23">
        <f>'Financial Model'!M24</f>
        <v>15705.089999999998</v>
      </c>
      <c r="G23">
        <f>'Financial Model'!N24</f>
        <v>18065.217749999996</v>
      </c>
      <c r="H23">
        <f>'Financial Model'!O24</f>
        <v>21683.498399999997</v>
      </c>
      <c r="I23">
        <f>'Financial Model'!P24</f>
        <v>26026.482599999992</v>
      </c>
      <c r="J23">
        <f>'Financial Model'!Q24</f>
        <v>31239.320543999987</v>
      </c>
      <c r="K23">
        <f>'Financial Model'!R24</f>
        <v>40620.920558399986</v>
      </c>
      <c r="L23">
        <f>'Financial Model'!S24</f>
        <v>52819.941732479987</v>
      </c>
      <c r="M23">
        <f>'Financial Model'!T24</f>
        <v>73317.040600751978</v>
      </c>
      <c r="N23">
        <f>'Financial Model'!U24</f>
        <v>84333.650475671981</v>
      </c>
      <c r="O23">
        <f>'Financial Model'!V24</f>
        <v>97005.60989955104</v>
      </c>
      <c r="P23">
        <f>'Financial Model'!W24</f>
        <v>112142.59343961519</v>
      </c>
      <c r="Q23">
        <f>'Financial Model'!X24</f>
        <v>129668.66763286693</v>
      </c>
      <c r="R23">
        <f>'Financial Model'!Y24</f>
        <v>149155.25380558378</v>
      </c>
      <c r="S23">
        <f>'Financial Model'!Z24</f>
        <v>171570.2708083762</v>
      </c>
      <c r="T23">
        <f>'Financial Model'!AA24</f>
        <v>197353.79970138069</v>
      </c>
      <c r="U23">
        <f>'Financial Model'!AB24</f>
        <v>227012.05616909807</v>
      </c>
    </row>
    <row r="24" spans="1:21" x14ac:dyDescent="0.2">
      <c r="A24">
        <f>'Financial Model'!H25</f>
        <v>0</v>
      </c>
      <c r="B24">
        <f>'Financial Model'!I25</f>
        <v>0</v>
      </c>
      <c r="C24">
        <f>'Financial Model'!J25</f>
        <v>0</v>
      </c>
      <c r="D24">
        <f>'Financial Model'!K25</f>
        <v>0</v>
      </c>
      <c r="E24">
        <f>'Financial Model'!L25</f>
        <v>0</v>
      </c>
      <c r="F24">
        <f>'Financial Model'!M25</f>
        <v>0</v>
      </c>
      <c r="G24">
        <f>'Financial Model'!N25</f>
        <v>0</v>
      </c>
      <c r="H24">
        <f>'Financial Model'!O25</f>
        <v>0</v>
      </c>
      <c r="I24">
        <f>'Financial Model'!P25</f>
        <v>0</v>
      </c>
      <c r="J24">
        <f>'Financial Model'!Q25</f>
        <v>0</v>
      </c>
      <c r="K24">
        <f>'Financial Model'!R25</f>
        <v>0</v>
      </c>
      <c r="L24">
        <f>'Financial Model'!S25</f>
        <v>0</v>
      </c>
      <c r="M24">
        <f>'Financial Model'!T25</f>
        <v>0</v>
      </c>
      <c r="N24">
        <f>'Financial Model'!U25</f>
        <v>0</v>
      </c>
      <c r="O24">
        <f>'Financial Model'!V25</f>
        <v>0</v>
      </c>
      <c r="P24">
        <f>'Financial Model'!W25</f>
        <v>0</v>
      </c>
      <c r="Q24">
        <f>'Financial Model'!X25</f>
        <v>0</v>
      </c>
      <c r="R24">
        <f>'Financial Model'!Y25</f>
        <v>0</v>
      </c>
      <c r="S24">
        <f>'Financial Model'!Z25</f>
        <v>0</v>
      </c>
      <c r="T24">
        <f>'Financial Model'!AA25</f>
        <v>0</v>
      </c>
      <c r="U24">
        <f>'Financial Model'!AB25</f>
        <v>0</v>
      </c>
    </row>
    <row r="25" spans="1:21" x14ac:dyDescent="0.2">
      <c r="A25" t="str">
        <f>'Financial Model'!H26</f>
        <v>New Account Revenue</v>
      </c>
      <c r="B25">
        <f>'Financial Model'!I26</f>
        <v>6000</v>
      </c>
      <c r="C25">
        <f>'Financial Model'!J26</f>
        <v>11000</v>
      </c>
      <c r="D25">
        <f>'Financial Model'!K26</f>
        <v>21500</v>
      </c>
      <c r="E25">
        <f>'Financial Model'!L26</f>
        <v>13653.3</v>
      </c>
      <c r="F25">
        <f>'Financial Model'!M26</f>
        <v>15705.089999999998</v>
      </c>
      <c r="G25">
        <f>'Financial Model'!N26</f>
        <v>18065.217749999996</v>
      </c>
      <c r="H25">
        <f>'Financial Model'!O26</f>
        <v>21683.498399999997</v>
      </c>
      <c r="I25">
        <f>'Financial Model'!P26</f>
        <v>26026.482599999992</v>
      </c>
      <c r="J25">
        <f>'Financial Model'!Q26</f>
        <v>31239.320543999987</v>
      </c>
      <c r="K25">
        <f>'Financial Model'!R26</f>
        <v>40620.920558399986</v>
      </c>
      <c r="L25">
        <f>'Financial Model'!S26</f>
        <v>52819.941732479987</v>
      </c>
      <c r="M25">
        <f>'Financial Model'!T26</f>
        <v>73317.040600751978</v>
      </c>
      <c r="N25">
        <f>'Financial Model'!U26</f>
        <v>84333.650475671981</v>
      </c>
      <c r="O25">
        <f>'Financial Model'!V26</f>
        <v>97005.60989955104</v>
      </c>
      <c r="P25">
        <f>'Financial Model'!W26</f>
        <v>112142.59343961519</v>
      </c>
      <c r="Q25">
        <f>'Financial Model'!X26</f>
        <v>129668.66763286693</v>
      </c>
      <c r="R25">
        <f>'Financial Model'!Y26</f>
        <v>149155.25380558378</v>
      </c>
      <c r="S25">
        <f>'Financial Model'!Z26</f>
        <v>171570.2708083762</v>
      </c>
      <c r="T25">
        <f>'Financial Model'!AA26</f>
        <v>197353.79970138069</v>
      </c>
      <c r="U25">
        <f>'Financial Model'!AB26</f>
        <v>227012.05616909807</v>
      </c>
    </row>
    <row r="26" spans="1:21" x14ac:dyDescent="0.2">
      <c r="A26" t="str">
        <f>'Financial Model'!H27</f>
        <v>Total Monthly Revenue</v>
      </c>
      <c r="B26">
        <f>'Financial Model'!I27</f>
        <v>13800</v>
      </c>
      <c r="C26">
        <f>'Financial Model'!J27</f>
        <v>23765</v>
      </c>
      <c r="D26">
        <f>'Financial Model'!K27</f>
        <v>43386.241525423728</v>
      </c>
      <c r="E26">
        <f>'Financial Model'!L27</f>
        <v>53119.271301686604</v>
      </c>
      <c r="F26">
        <f>'Financial Model'!M27</f>
        <v>64621.846951044106</v>
      </c>
      <c r="G26">
        <f>'Financial Model'!N27</f>
        <v>77564.821824021506</v>
      </c>
      <c r="H26">
        <f>'Financial Model'!O27</f>
        <v>93090.439162160154</v>
      </c>
      <c r="I26">
        <f>'Financial Model'!P27</f>
        <v>111621.66254045507</v>
      </c>
      <c r="J26">
        <f>'Financial Model'!Q27</f>
        <v>133767.1452258827</v>
      </c>
      <c r="K26">
        <f>'Financial Model'!R27</f>
        <v>163383.16561432742</v>
      </c>
      <c r="L26">
        <f>'Financial Model'!S27</f>
        <v>202309.95264291283</v>
      </c>
      <c r="M26">
        <f>'Financial Model'!T27</f>
        <v>257950.25425908354</v>
      </c>
      <c r="N26">
        <f>'Financial Model'!U27</f>
        <v>319010.58808566624</v>
      </c>
      <c r="O26">
        <f>'Financial Model'!V27</f>
        <v>387951.76031181519</v>
      </c>
      <c r="P26">
        <f>'Financial Model'!W27</f>
        <v>466615.78603798815</v>
      </c>
      <c r="Q26">
        <f>'Financial Model'!X27</f>
        <v>556310.20783676591</v>
      </c>
      <c r="R26">
        <f>'Financial Model'!Y27</f>
        <v>658073.32664091967</v>
      </c>
      <c r="S26">
        <f>'Financial Model'!Z27</f>
        <v>774258.65892756754</v>
      </c>
      <c r="T26">
        <f>'Financial Model'!AA27</f>
        <v>907072.28654460551</v>
      </c>
      <c r="U26">
        <f>'Financial Model'!AB27</f>
        <v>1059050.8364316346</v>
      </c>
    </row>
    <row r="27" spans="1:21" x14ac:dyDescent="0.2">
      <c r="A27" t="e">
        <f>'Financial Model'!#REF!</f>
        <v>#REF!</v>
      </c>
      <c r="B27" t="e">
        <f>'Financial Model'!#REF!</f>
        <v>#REF!</v>
      </c>
      <c r="C27" t="e">
        <f>'Financial Model'!#REF!</f>
        <v>#REF!</v>
      </c>
      <c r="D27" t="e">
        <f>'Financial Model'!#REF!</f>
        <v>#REF!</v>
      </c>
      <c r="E27" t="e">
        <f>'Financial Model'!#REF!</f>
        <v>#REF!</v>
      </c>
      <c r="F27" t="e">
        <f>'Financial Model'!#REF!</f>
        <v>#REF!</v>
      </c>
      <c r="G27" t="e">
        <f>'Financial Model'!#REF!</f>
        <v>#REF!</v>
      </c>
      <c r="H27" t="e">
        <f>'Financial Model'!#REF!</f>
        <v>#REF!</v>
      </c>
      <c r="I27" t="e">
        <f>'Financial Model'!#REF!</f>
        <v>#REF!</v>
      </c>
      <c r="J27" t="e">
        <f>'Financial Model'!#REF!</f>
        <v>#REF!</v>
      </c>
      <c r="K27" t="e">
        <f>'Financial Model'!#REF!</f>
        <v>#REF!</v>
      </c>
      <c r="L27" t="e">
        <f>'Financial Model'!#REF!</f>
        <v>#REF!</v>
      </c>
      <c r="M27" t="e">
        <f>'Financial Model'!#REF!</f>
        <v>#REF!</v>
      </c>
      <c r="N27" t="e">
        <f>'Financial Model'!#REF!</f>
        <v>#REF!</v>
      </c>
      <c r="O27" t="e">
        <f>'Financial Model'!#REF!</f>
        <v>#REF!</v>
      </c>
      <c r="P27" t="e">
        <f>'Financial Model'!#REF!</f>
        <v>#REF!</v>
      </c>
      <c r="Q27" t="e">
        <f>'Financial Model'!#REF!</f>
        <v>#REF!</v>
      </c>
      <c r="R27" t="e">
        <f>'Financial Model'!#REF!</f>
        <v>#REF!</v>
      </c>
      <c r="S27" t="e">
        <f>'Financial Model'!#REF!</f>
        <v>#REF!</v>
      </c>
      <c r="T27" t="e">
        <f>'Financial Model'!#REF!</f>
        <v>#REF!</v>
      </c>
      <c r="U27" t="e">
        <f>'Financial Model'!#REF!</f>
        <v>#REF!</v>
      </c>
    </row>
    <row r="28" spans="1:21" x14ac:dyDescent="0.2">
      <c r="A28">
        <f>'Financial Model'!H28</f>
        <v>0</v>
      </c>
      <c r="B28">
        <f>'Financial Model'!I28</f>
        <v>0</v>
      </c>
      <c r="C28">
        <f>'Financial Model'!J28</f>
        <v>0</v>
      </c>
      <c r="D28">
        <f>'Financial Model'!K28</f>
        <v>0</v>
      </c>
      <c r="E28">
        <f>'Financial Model'!L28</f>
        <v>0</v>
      </c>
      <c r="F28">
        <f>'Financial Model'!M28</f>
        <v>0</v>
      </c>
      <c r="G28">
        <f>'Financial Model'!N28</f>
        <v>0</v>
      </c>
      <c r="H28">
        <f>'Financial Model'!O28</f>
        <v>0</v>
      </c>
      <c r="I28">
        <f>'Financial Model'!P28</f>
        <v>0</v>
      </c>
      <c r="J28">
        <f>'Financial Model'!Q28</f>
        <v>0</v>
      </c>
      <c r="K28">
        <f>'Financial Model'!R28</f>
        <v>0</v>
      </c>
      <c r="L28">
        <f>'Financial Model'!S28</f>
        <v>0</v>
      </c>
      <c r="M28">
        <f>'Financial Model'!T28</f>
        <v>0</v>
      </c>
      <c r="N28">
        <f>'Financial Model'!U28</f>
        <v>0</v>
      </c>
      <c r="O28">
        <f>'Financial Model'!V28</f>
        <v>0</v>
      </c>
      <c r="P28">
        <f>'Financial Model'!W28</f>
        <v>0</v>
      </c>
      <c r="Q28">
        <f>'Financial Model'!X28</f>
        <v>0</v>
      </c>
      <c r="R28">
        <f>'Financial Model'!Y28</f>
        <v>0</v>
      </c>
      <c r="S28">
        <f>'Financial Model'!Z28</f>
        <v>0</v>
      </c>
      <c r="T28">
        <f>'Financial Model'!AA28</f>
        <v>0</v>
      </c>
      <c r="U28">
        <f>'Financial Model'!AB28</f>
        <v>0</v>
      </c>
    </row>
    <row r="29" spans="1:21" x14ac:dyDescent="0.2">
      <c r="A29" t="str">
        <f>'Financial Model'!H29</f>
        <v>Gross Profit</v>
      </c>
      <c r="B29">
        <f>'Financial Model'!I29</f>
        <v>44.080000000001746</v>
      </c>
      <c r="C29">
        <f>'Financial Model'!J29</f>
        <v>9771.4552500000009</v>
      </c>
      <c r="D29">
        <f>'Financial Model'!K29</f>
        <v>27023.666406673728</v>
      </c>
      <c r="E29">
        <f>'Financial Model'!L29</f>
        <v>35869.402179967859</v>
      </c>
      <c r="F29">
        <f>'Financial Model'!M29</f>
        <v>46063.976788782391</v>
      </c>
      <c r="G29">
        <f>'Financial Model'!N29</f>
        <v>57534.737448328247</v>
      </c>
      <c r="H29">
        <f>'Financial Model'!O29</f>
        <v>70936.292067480812</v>
      </c>
      <c r="I29">
        <f>'Financial Model'!P29</f>
        <v>86965.689036896249</v>
      </c>
      <c r="J29">
        <f>'Financial Model'!Q29</f>
        <v>106157.20510691992</v>
      </c>
      <c r="K29">
        <f>'Financial Model'!R29</f>
        <v>130674.99298279655</v>
      </c>
      <c r="L29">
        <f>'Financial Model'!S29</f>
        <v>163053.69648312149</v>
      </c>
      <c r="M29">
        <f>'Financial Model'!T29</f>
        <v>210263.09871908356</v>
      </c>
      <c r="N29">
        <f>'Financial Model'!U29</f>
        <v>265729.28053485812</v>
      </c>
      <c r="O29">
        <f>'Financial Model'!V29</f>
        <v>328276.15098158241</v>
      </c>
      <c r="P29">
        <f>'Financial Model'!W29</f>
        <v>397298.03323854593</v>
      </c>
      <c r="Q29">
        <f>'Financial Model'!X29</f>
        <v>475479.20733419334</v>
      </c>
      <c r="R29">
        <f>'Financial Model'!Y29</f>
        <v>566838.43351165904</v>
      </c>
      <c r="S29">
        <f>'Financial Model'!Z29</f>
        <v>671102.30821383314</v>
      </c>
      <c r="T29">
        <f>'Financial Model'!AA29</f>
        <v>790250.3540183492</v>
      </c>
      <c r="U29">
        <f>'Financial Model'!AB29</f>
        <v>926558.68159084138</v>
      </c>
    </row>
    <row r="30" spans="1:21" x14ac:dyDescent="0.2">
      <c r="A30">
        <f>'Financial Model'!H30</f>
        <v>0</v>
      </c>
      <c r="B30">
        <f>'Financial Model'!I30</f>
        <v>0</v>
      </c>
      <c r="C30">
        <f>'Financial Model'!J30</f>
        <v>0</v>
      </c>
      <c r="D30">
        <f>'Financial Model'!K30</f>
        <v>0</v>
      </c>
      <c r="E30">
        <f>'Financial Model'!L30</f>
        <v>0</v>
      </c>
      <c r="F30">
        <f>'Financial Model'!M30</f>
        <v>0</v>
      </c>
      <c r="G30">
        <f>'Financial Model'!N30</f>
        <v>0</v>
      </c>
      <c r="H30">
        <f>'Financial Model'!O30</f>
        <v>0</v>
      </c>
      <c r="I30">
        <f>'Financial Model'!P30</f>
        <v>0</v>
      </c>
      <c r="J30">
        <f>'Financial Model'!Q30</f>
        <v>0</v>
      </c>
      <c r="K30">
        <f>'Financial Model'!R30</f>
        <v>0</v>
      </c>
      <c r="L30">
        <f>'Financial Model'!S30</f>
        <v>0</v>
      </c>
      <c r="M30">
        <f>'Financial Model'!T30</f>
        <v>0</v>
      </c>
      <c r="N30">
        <f>'Financial Model'!U30</f>
        <v>0</v>
      </c>
      <c r="O30">
        <f>'Financial Model'!V30</f>
        <v>0</v>
      </c>
      <c r="P30">
        <f>'Financial Model'!W30</f>
        <v>0</v>
      </c>
      <c r="Q30">
        <f>'Financial Model'!X30</f>
        <v>0</v>
      </c>
      <c r="R30">
        <f>'Financial Model'!Y30</f>
        <v>0</v>
      </c>
      <c r="S30">
        <f>'Financial Model'!Z30</f>
        <v>0</v>
      </c>
      <c r="T30">
        <f>'Financial Model'!AA30</f>
        <v>0</v>
      </c>
      <c r="U30">
        <f>'Financial Model'!AB30</f>
        <v>0</v>
      </c>
    </row>
    <row r="31" spans="1:21" x14ac:dyDescent="0.2">
      <c r="A31" t="str">
        <f>'Financial Model'!H31</f>
        <v>COGS</v>
      </c>
      <c r="B31">
        <f>'Financial Model'!I31</f>
        <v>0</v>
      </c>
      <c r="C31">
        <f>'Financial Model'!J31</f>
        <v>0</v>
      </c>
      <c r="D31">
        <f>'Financial Model'!K31</f>
        <v>0</v>
      </c>
      <c r="E31">
        <f>'Financial Model'!L31</f>
        <v>0</v>
      </c>
      <c r="F31">
        <f>'Financial Model'!M31</f>
        <v>0</v>
      </c>
      <c r="G31">
        <f>'Financial Model'!N31</f>
        <v>0</v>
      </c>
      <c r="H31">
        <f>'Financial Model'!O31</f>
        <v>0</v>
      </c>
      <c r="I31">
        <f>'Financial Model'!P31</f>
        <v>0</v>
      </c>
      <c r="J31">
        <f>'Financial Model'!Q31</f>
        <v>0</v>
      </c>
      <c r="K31">
        <f>'Financial Model'!R31</f>
        <v>0</v>
      </c>
      <c r="L31">
        <f>'Financial Model'!S31</f>
        <v>0</v>
      </c>
      <c r="M31">
        <f>'Financial Model'!T31</f>
        <v>0</v>
      </c>
      <c r="N31">
        <f>'Financial Model'!U31</f>
        <v>0</v>
      </c>
      <c r="O31">
        <f>'Financial Model'!V31</f>
        <v>0</v>
      </c>
      <c r="P31">
        <f>'Financial Model'!W31</f>
        <v>0</v>
      </c>
      <c r="Q31">
        <f>'Financial Model'!X31</f>
        <v>0</v>
      </c>
      <c r="R31">
        <f>'Financial Model'!Y31</f>
        <v>0</v>
      </c>
      <c r="S31">
        <f>'Financial Model'!Z31</f>
        <v>0</v>
      </c>
      <c r="T31">
        <f>'Financial Model'!AA31</f>
        <v>0</v>
      </c>
      <c r="U31">
        <f>'Financial Model'!AB31</f>
        <v>0</v>
      </c>
    </row>
    <row r="32" spans="1:21" x14ac:dyDescent="0.2">
      <c r="A32" t="e">
        <f>'Financial Model'!#REF!</f>
        <v>#REF!</v>
      </c>
      <c r="B32" t="e">
        <f>'Financial Model'!#REF!</f>
        <v>#REF!</v>
      </c>
      <c r="C32" t="e">
        <f>'Financial Model'!#REF!</f>
        <v>#REF!</v>
      </c>
      <c r="D32" t="e">
        <f>'Financial Model'!#REF!</f>
        <v>#REF!</v>
      </c>
      <c r="E32" t="e">
        <f>'Financial Model'!#REF!</f>
        <v>#REF!</v>
      </c>
      <c r="F32" t="e">
        <f>'Financial Model'!#REF!</f>
        <v>#REF!</v>
      </c>
      <c r="G32" t="e">
        <f>'Financial Model'!#REF!</f>
        <v>#REF!</v>
      </c>
      <c r="H32" t="e">
        <f>'Financial Model'!#REF!</f>
        <v>#REF!</v>
      </c>
      <c r="I32" t="e">
        <f>'Financial Model'!#REF!</f>
        <v>#REF!</v>
      </c>
      <c r="J32" t="e">
        <f>'Financial Model'!#REF!</f>
        <v>#REF!</v>
      </c>
      <c r="K32" t="e">
        <f>'Financial Model'!#REF!</f>
        <v>#REF!</v>
      </c>
      <c r="L32" t="e">
        <f>'Financial Model'!#REF!</f>
        <v>#REF!</v>
      </c>
      <c r="M32" t="e">
        <f>'Financial Model'!#REF!</f>
        <v>#REF!</v>
      </c>
      <c r="N32" t="e">
        <f>'Financial Model'!#REF!</f>
        <v>#REF!</v>
      </c>
      <c r="O32" t="e">
        <f>'Financial Model'!#REF!</f>
        <v>#REF!</v>
      </c>
      <c r="P32" t="e">
        <f>'Financial Model'!#REF!</f>
        <v>#REF!</v>
      </c>
      <c r="Q32" t="e">
        <f>'Financial Model'!#REF!</f>
        <v>#REF!</v>
      </c>
      <c r="R32" t="e">
        <f>'Financial Model'!#REF!</f>
        <v>#REF!</v>
      </c>
      <c r="S32" t="e">
        <f>'Financial Model'!#REF!</f>
        <v>#REF!</v>
      </c>
      <c r="T32" t="e">
        <f>'Financial Model'!#REF!</f>
        <v>#REF!</v>
      </c>
      <c r="U32" t="e">
        <f>'Financial Model'!#REF!</f>
        <v>#REF!</v>
      </c>
    </row>
    <row r="33" spans="1:21" x14ac:dyDescent="0.2">
      <c r="A33" t="e">
        <f>'Financial Model'!#REF!</f>
        <v>#REF!</v>
      </c>
      <c r="B33" t="e">
        <f>'Financial Model'!#REF!</f>
        <v>#REF!</v>
      </c>
      <c r="C33" t="e">
        <f>'Financial Model'!#REF!</f>
        <v>#REF!</v>
      </c>
      <c r="D33" t="e">
        <f>'Financial Model'!#REF!</f>
        <v>#REF!</v>
      </c>
      <c r="E33" t="e">
        <f>'Financial Model'!#REF!</f>
        <v>#REF!</v>
      </c>
      <c r="F33" t="e">
        <f>'Financial Model'!#REF!</f>
        <v>#REF!</v>
      </c>
      <c r="G33" t="e">
        <f>'Financial Model'!#REF!</f>
        <v>#REF!</v>
      </c>
      <c r="H33" t="e">
        <f>'Financial Model'!#REF!</f>
        <v>#REF!</v>
      </c>
      <c r="I33" t="e">
        <f>'Financial Model'!#REF!</f>
        <v>#REF!</v>
      </c>
      <c r="J33" t="e">
        <f>'Financial Model'!#REF!</f>
        <v>#REF!</v>
      </c>
      <c r="K33" t="e">
        <f>'Financial Model'!#REF!</f>
        <v>#REF!</v>
      </c>
      <c r="L33" t="e">
        <f>'Financial Model'!#REF!</f>
        <v>#REF!</v>
      </c>
      <c r="M33" t="e">
        <f>'Financial Model'!#REF!</f>
        <v>#REF!</v>
      </c>
      <c r="N33" t="e">
        <f>'Financial Model'!#REF!</f>
        <v>#REF!</v>
      </c>
      <c r="O33" t="e">
        <f>'Financial Model'!#REF!</f>
        <v>#REF!</v>
      </c>
      <c r="P33" t="e">
        <f>'Financial Model'!#REF!</f>
        <v>#REF!</v>
      </c>
      <c r="Q33" t="e">
        <f>'Financial Model'!#REF!</f>
        <v>#REF!</v>
      </c>
      <c r="R33" t="e">
        <f>'Financial Model'!#REF!</f>
        <v>#REF!</v>
      </c>
      <c r="S33" t="e">
        <f>'Financial Model'!#REF!</f>
        <v>#REF!</v>
      </c>
      <c r="T33" t="e">
        <f>'Financial Model'!#REF!</f>
        <v>#REF!</v>
      </c>
      <c r="U33" t="e">
        <f>'Financial Model'!#REF!</f>
        <v>#REF!</v>
      </c>
    </row>
    <row r="34" spans="1:21" x14ac:dyDescent="0.2">
      <c r="A34" t="e">
        <f>'Financial Model'!#REF!</f>
        <v>#REF!</v>
      </c>
      <c r="B34" t="e">
        <f>'Financial Model'!#REF!</f>
        <v>#REF!</v>
      </c>
      <c r="C34" t="e">
        <f>'Financial Model'!#REF!</f>
        <v>#REF!</v>
      </c>
      <c r="D34" t="e">
        <f>'Financial Model'!#REF!</f>
        <v>#REF!</v>
      </c>
      <c r="E34" t="e">
        <f>'Financial Model'!#REF!</f>
        <v>#REF!</v>
      </c>
      <c r="F34" t="e">
        <f>'Financial Model'!#REF!</f>
        <v>#REF!</v>
      </c>
      <c r="G34" t="e">
        <f>'Financial Model'!#REF!</f>
        <v>#REF!</v>
      </c>
      <c r="H34" t="e">
        <f>'Financial Model'!#REF!</f>
        <v>#REF!</v>
      </c>
      <c r="I34" t="e">
        <f>'Financial Model'!#REF!</f>
        <v>#REF!</v>
      </c>
      <c r="J34" t="e">
        <f>'Financial Model'!#REF!</f>
        <v>#REF!</v>
      </c>
      <c r="K34" t="e">
        <f>'Financial Model'!#REF!</f>
        <v>#REF!</v>
      </c>
      <c r="L34" t="e">
        <f>'Financial Model'!#REF!</f>
        <v>#REF!</v>
      </c>
      <c r="M34" t="e">
        <f>'Financial Model'!#REF!</f>
        <v>#REF!</v>
      </c>
      <c r="N34" t="e">
        <f>'Financial Model'!#REF!</f>
        <v>#REF!</v>
      </c>
      <c r="O34" t="e">
        <f>'Financial Model'!#REF!</f>
        <v>#REF!</v>
      </c>
      <c r="P34" t="e">
        <f>'Financial Model'!#REF!</f>
        <v>#REF!</v>
      </c>
      <c r="Q34" t="e">
        <f>'Financial Model'!#REF!</f>
        <v>#REF!</v>
      </c>
      <c r="R34" t="e">
        <f>'Financial Model'!#REF!</f>
        <v>#REF!</v>
      </c>
      <c r="S34" t="e">
        <f>'Financial Model'!#REF!</f>
        <v>#REF!</v>
      </c>
      <c r="T34" t="e">
        <f>'Financial Model'!#REF!</f>
        <v>#REF!</v>
      </c>
      <c r="U34" t="e">
        <f>'Financial Model'!#REF!</f>
        <v>#REF!</v>
      </c>
    </row>
    <row r="35" spans="1:21" x14ac:dyDescent="0.2">
      <c r="A35" t="e">
        <f>'Financial Model'!#REF!</f>
        <v>#REF!</v>
      </c>
      <c r="B35" t="e">
        <f>'Financial Model'!#REF!</f>
        <v>#REF!</v>
      </c>
      <c r="C35" t="e">
        <f>'Financial Model'!#REF!</f>
        <v>#REF!</v>
      </c>
      <c r="D35" t="e">
        <f>'Financial Model'!#REF!</f>
        <v>#REF!</v>
      </c>
      <c r="E35" t="e">
        <f>'Financial Model'!#REF!</f>
        <v>#REF!</v>
      </c>
      <c r="F35" t="e">
        <f>'Financial Model'!#REF!</f>
        <v>#REF!</v>
      </c>
      <c r="G35" t="e">
        <f>'Financial Model'!#REF!</f>
        <v>#REF!</v>
      </c>
      <c r="H35" t="e">
        <f>'Financial Model'!#REF!</f>
        <v>#REF!</v>
      </c>
      <c r="I35" t="e">
        <f>'Financial Model'!#REF!</f>
        <v>#REF!</v>
      </c>
      <c r="J35" t="e">
        <f>'Financial Model'!#REF!</f>
        <v>#REF!</v>
      </c>
      <c r="K35" t="e">
        <f>'Financial Model'!#REF!</f>
        <v>#REF!</v>
      </c>
      <c r="L35" t="e">
        <f>'Financial Model'!#REF!</f>
        <v>#REF!</v>
      </c>
      <c r="M35" t="e">
        <f>'Financial Model'!#REF!</f>
        <v>#REF!</v>
      </c>
      <c r="N35" t="e">
        <f>'Financial Model'!#REF!</f>
        <v>#REF!</v>
      </c>
      <c r="O35" t="e">
        <f>'Financial Model'!#REF!</f>
        <v>#REF!</v>
      </c>
      <c r="P35" t="e">
        <f>'Financial Model'!#REF!</f>
        <v>#REF!</v>
      </c>
      <c r="Q35" t="e">
        <f>'Financial Model'!#REF!</f>
        <v>#REF!</v>
      </c>
      <c r="R35" t="e">
        <f>'Financial Model'!#REF!</f>
        <v>#REF!</v>
      </c>
      <c r="S35" t="e">
        <f>'Financial Model'!#REF!</f>
        <v>#REF!</v>
      </c>
      <c r="T35" t="e">
        <f>'Financial Model'!#REF!</f>
        <v>#REF!</v>
      </c>
      <c r="U35" t="e">
        <f>'Financial Model'!#REF!</f>
        <v>#REF!</v>
      </c>
    </row>
    <row r="36" spans="1:21" x14ac:dyDescent="0.2">
      <c r="A36" t="e">
        <f>'Financial Model'!#REF!</f>
        <v>#REF!</v>
      </c>
      <c r="B36" t="e">
        <f>'Financial Model'!#REF!</f>
        <v>#REF!</v>
      </c>
      <c r="C36" t="e">
        <f>'Financial Model'!#REF!</f>
        <v>#REF!</v>
      </c>
      <c r="D36" t="e">
        <f>'Financial Model'!#REF!</f>
        <v>#REF!</v>
      </c>
      <c r="E36" t="e">
        <f>'Financial Model'!#REF!</f>
        <v>#REF!</v>
      </c>
      <c r="F36" t="e">
        <f>'Financial Model'!#REF!</f>
        <v>#REF!</v>
      </c>
      <c r="G36" t="e">
        <f>'Financial Model'!#REF!</f>
        <v>#REF!</v>
      </c>
      <c r="H36" t="e">
        <f>'Financial Model'!#REF!</f>
        <v>#REF!</v>
      </c>
      <c r="I36" t="e">
        <f>'Financial Model'!#REF!</f>
        <v>#REF!</v>
      </c>
      <c r="J36" t="e">
        <f>'Financial Model'!#REF!</f>
        <v>#REF!</v>
      </c>
      <c r="K36" t="e">
        <f>'Financial Model'!#REF!</f>
        <v>#REF!</v>
      </c>
      <c r="L36" t="e">
        <f>'Financial Model'!#REF!</f>
        <v>#REF!</v>
      </c>
      <c r="M36" t="e">
        <f>'Financial Model'!#REF!</f>
        <v>#REF!</v>
      </c>
      <c r="N36" t="e">
        <f>'Financial Model'!#REF!</f>
        <v>#REF!</v>
      </c>
      <c r="O36" t="e">
        <f>'Financial Model'!#REF!</f>
        <v>#REF!</v>
      </c>
      <c r="P36" t="e">
        <f>'Financial Model'!#REF!</f>
        <v>#REF!</v>
      </c>
      <c r="Q36" t="e">
        <f>'Financial Model'!#REF!</f>
        <v>#REF!</v>
      </c>
      <c r="R36" t="e">
        <f>'Financial Model'!#REF!</f>
        <v>#REF!</v>
      </c>
      <c r="S36" t="e">
        <f>'Financial Model'!#REF!</f>
        <v>#REF!</v>
      </c>
      <c r="T36" t="e">
        <f>'Financial Model'!#REF!</f>
        <v>#REF!</v>
      </c>
      <c r="U36" t="e">
        <f>'Financial Model'!#REF!</f>
        <v>#REF!</v>
      </c>
    </row>
    <row r="37" spans="1:21" x14ac:dyDescent="0.2">
      <c r="A37" t="e">
        <f>'Financial Model'!#REF!</f>
        <v>#REF!</v>
      </c>
      <c r="B37" t="e">
        <f>'Financial Model'!#REF!</f>
        <v>#REF!</v>
      </c>
      <c r="C37" t="e">
        <f>'Financial Model'!#REF!</f>
        <v>#REF!</v>
      </c>
      <c r="D37" t="e">
        <f>'Financial Model'!#REF!</f>
        <v>#REF!</v>
      </c>
      <c r="E37" t="e">
        <f>'Financial Model'!#REF!</f>
        <v>#REF!</v>
      </c>
      <c r="F37" t="e">
        <f>'Financial Model'!#REF!</f>
        <v>#REF!</v>
      </c>
      <c r="G37" t="e">
        <f>'Financial Model'!#REF!</f>
        <v>#REF!</v>
      </c>
      <c r="H37" t="e">
        <f>'Financial Model'!#REF!</f>
        <v>#REF!</v>
      </c>
      <c r="I37" t="e">
        <f>'Financial Model'!#REF!</f>
        <v>#REF!</v>
      </c>
      <c r="J37" t="e">
        <f>'Financial Model'!#REF!</f>
        <v>#REF!</v>
      </c>
      <c r="K37" t="e">
        <f>'Financial Model'!#REF!</f>
        <v>#REF!</v>
      </c>
      <c r="L37" t="e">
        <f>'Financial Model'!#REF!</f>
        <v>#REF!</v>
      </c>
      <c r="M37" t="e">
        <f>'Financial Model'!#REF!</f>
        <v>#REF!</v>
      </c>
      <c r="N37" t="e">
        <f>'Financial Model'!#REF!</f>
        <v>#REF!</v>
      </c>
      <c r="O37" t="e">
        <f>'Financial Model'!#REF!</f>
        <v>#REF!</v>
      </c>
      <c r="P37" t="e">
        <f>'Financial Model'!#REF!</f>
        <v>#REF!</v>
      </c>
      <c r="Q37" t="e">
        <f>'Financial Model'!#REF!</f>
        <v>#REF!</v>
      </c>
      <c r="R37" t="e">
        <f>'Financial Model'!#REF!</f>
        <v>#REF!</v>
      </c>
      <c r="S37" t="e">
        <f>'Financial Model'!#REF!</f>
        <v>#REF!</v>
      </c>
      <c r="T37" t="e">
        <f>'Financial Model'!#REF!</f>
        <v>#REF!</v>
      </c>
      <c r="U37" t="e">
        <f>'Financial Model'!#REF!</f>
        <v>#REF!</v>
      </c>
    </row>
    <row r="38" spans="1:21" x14ac:dyDescent="0.2">
      <c r="A38" t="e">
        <f>'Financial Model'!#REF!</f>
        <v>#REF!</v>
      </c>
      <c r="B38" t="e">
        <f>'Financial Model'!#REF!</f>
        <v>#REF!</v>
      </c>
      <c r="C38" t="e">
        <f>'Financial Model'!#REF!</f>
        <v>#REF!</v>
      </c>
      <c r="D38" t="e">
        <f>'Financial Model'!#REF!</f>
        <v>#REF!</v>
      </c>
      <c r="E38" t="e">
        <f>'Financial Model'!#REF!</f>
        <v>#REF!</v>
      </c>
      <c r="F38" t="e">
        <f>'Financial Model'!#REF!</f>
        <v>#REF!</v>
      </c>
      <c r="G38" t="e">
        <f>'Financial Model'!#REF!</f>
        <v>#REF!</v>
      </c>
      <c r="H38" t="e">
        <f>'Financial Model'!#REF!</f>
        <v>#REF!</v>
      </c>
      <c r="I38" t="e">
        <f>'Financial Model'!#REF!</f>
        <v>#REF!</v>
      </c>
      <c r="J38" t="e">
        <f>'Financial Model'!#REF!</f>
        <v>#REF!</v>
      </c>
      <c r="K38" t="e">
        <f>'Financial Model'!#REF!</f>
        <v>#REF!</v>
      </c>
      <c r="L38" t="e">
        <f>'Financial Model'!#REF!</f>
        <v>#REF!</v>
      </c>
      <c r="M38" t="e">
        <f>'Financial Model'!#REF!</f>
        <v>#REF!</v>
      </c>
      <c r="N38" t="e">
        <f>'Financial Model'!#REF!</f>
        <v>#REF!</v>
      </c>
      <c r="O38" t="e">
        <f>'Financial Model'!#REF!</f>
        <v>#REF!</v>
      </c>
      <c r="P38" t="e">
        <f>'Financial Model'!#REF!</f>
        <v>#REF!</v>
      </c>
      <c r="Q38" t="e">
        <f>'Financial Model'!#REF!</f>
        <v>#REF!</v>
      </c>
      <c r="R38" t="e">
        <f>'Financial Model'!#REF!</f>
        <v>#REF!</v>
      </c>
      <c r="S38" t="e">
        <f>'Financial Model'!#REF!</f>
        <v>#REF!</v>
      </c>
      <c r="T38" t="e">
        <f>'Financial Model'!#REF!</f>
        <v>#REF!</v>
      </c>
      <c r="U38" t="e">
        <f>'Financial Model'!#REF!</f>
        <v>#REF!</v>
      </c>
    </row>
    <row r="39" spans="1:21" x14ac:dyDescent="0.2">
      <c r="A39" t="e">
        <f>'Financial Model'!#REF!</f>
        <v>#REF!</v>
      </c>
      <c r="B39" t="e">
        <f>'Financial Model'!#REF!</f>
        <v>#REF!</v>
      </c>
      <c r="C39" t="e">
        <f>'Financial Model'!#REF!</f>
        <v>#REF!</v>
      </c>
      <c r="D39" t="e">
        <f>'Financial Model'!#REF!</f>
        <v>#REF!</v>
      </c>
      <c r="E39" t="e">
        <f>'Financial Model'!#REF!</f>
        <v>#REF!</v>
      </c>
      <c r="F39" t="e">
        <f>'Financial Model'!#REF!</f>
        <v>#REF!</v>
      </c>
      <c r="G39" t="e">
        <f>'Financial Model'!#REF!</f>
        <v>#REF!</v>
      </c>
      <c r="H39" t="e">
        <f>'Financial Model'!#REF!</f>
        <v>#REF!</v>
      </c>
      <c r="I39" t="e">
        <f>'Financial Model'!#REF!</f>
        <v>#REF!</v>
      </c>
      <c r="J39" t="e">
        <f>'Financial Model'!#REF!</f>
        <v>#REF!</v>
      </c>
      <c r="K39" t="e">
        <f>'Financial Model'!#REF!</f>
        <v>#REF!</v>
      </c>
      <c r="L39" t="e">
        <f>'Financial Model'!#REF!</f>
        <v>#REF!</v>
      </c>
      <c r="M39" t="e">
        <f>'Financial Model'!#REF!</f>
        <v>#REF!</v>
      </c>
      <c r="N39" t="e">
        <f>'Financial Model'!#REF!</f>
        <v>#REF!</v>
      </c>
      <c r="O39" t="e">
        <f>'Financial Model'!#REF!</f>
        <v>#REF!</v>
      </c>
      <c r="P39" t="e">
        <f>'Financial Model'!#REF!</f>
        <v>#REF!</v>
      </c>
      <c r="Q39" t="e">
        <f>'Financial Model'!#REF!</f>
        <v>#REF!</v>
      </c>
      <c r="R39" t="e">
        <f>'Financial Model'!#REF!</f>
        <v>#REF!</v>
      </c>
      <c r="S39" t="e">
        <f>'Financial Model'!#REF!</f>
        <v>#REF!</v>
      </c>
      <c r="T39" t="e">
        <f>'Financial Model'!#REF!</f>
        <v>#REF!</v>
      </c>
      <c r="U39" t="e">
        <f>'Financial Model'!#REF!</f>
        <v>#REF!</v>
      </c>
    </row>
    <row r="40" spans="1:21" x14ac:dyDescent="0.2">
      <c r="A40" t="e">
        <f>'Financial Model'!#REF!</f>
        <v>#REF!</v>
      </c>
      <c r="B40" t="e">
        <f>'Financial Model'!#REF!</f>
        <v>#REF!</v>
      </c>
      <c r="C40" t="e">
        <f>'Financial Model'!#REF!</f>
        <v>#REF!</v>
      </c>
      <c r="D40" t="e">
        <f>'Financial Model'!#REF!</f>
        <v>#REF!</v>
      </c>
      <c r="E40" t="e">
        <f>'Financial Model'!#REF!</f>
        <v>#REF!</v>
      </c>
      <c r="F40" t="e">
        <f>'Financial Model'!#REF!</f>
        <v>#REF!</v>
      </c>
      <c r="G40" t="e">
        <f>'Financial Model'!#REF!</f>
        <v>#REF!</v>
      </c>
      <c r="H40" t="e">
        <f>'Financial Model'!#REF!</f>
        <v>#REF!</v>
      </c>
      <c r="I40" t="e">
        <f>'Financial Model'!#REF!</f>
        <v>#REF!</v>
      </c>
      <c r="J40" t="e">
        <f>'Financial Model'!#REF!</f>
        <v>#REF!</v>
      </c>
      <c r="K40" t="e">
        <f>'Financial Model'!#REF!</f>
        <v>#REF!</v>
      </c>
      <c r="L40" t="e">
        <f>'Financial Model'!#REF!</f>
        <v>#REF!</v>
      </c>
      <c r="M40" t="e">
        <f>'Financial Model'!#REF!</f>
        <v>#REF!</v>
      </c>
      <c r="N40" t="e">
        <f>'Financial Model'!#REF!</f>
        <v>#REF!</v>
      </c>
      <c r="O40" t="e">
        <f>'Financial Model'!#REF!</f>
        <v>#REF!</v>
      </c>
      <c r="P40" t="e">
        <f>'Financial Model'!#REF!</f>
        <v>#REF!</v>
      </c>
      <c r="Q40" t="e">
        <f>'Financial Model'!#REF!</f>
        <v>#REF!</v>
      </c>
      <c r="R40" t="e">
        <f>'Financial Model'!#REF!</f>
        <v>#REF!</v>
      </c>
      <c r="S40" t="e">
        <f>'Financial Model'!#REF!</f>
        <v>#REF!</v>
      </c>
      <c r="T40" t="e">
        <f>'Financial Model'!#REF!</f>
        <v>#REF!</v>
      </c>
      <c r="U40" t="e">
        <f>'Financial Model'!#REF!</f>
        <v>#REF!</v>
      </c>
    </row>
    <row r="41" spans="1:21" x14ac:dyDescent="0.2">
      <c r="A41" t="e">
        <f>'Financial Model'!#REF!</f>
        <v>#REF!</v>
      </c>
      <c r="B41" t="e">
        <f>'Financial Model'!#REF!</f>
        <v>#REF!</v>
      </c>
      <c r="C41" t="e">
        <f>'Financial Model'!#REF!</f>
        <v>#REF!</v>
      </c>
      <c r="D41" t="e">
        <f>'Financial Model'!#REF!</f>
        <v>#REF!</v>
      </c>
      <c r="E41" t="e">
        <f>'Financial Model'!#REF!</f>
        <v>#REF!</v>
      </c>
      <c r="F41" t="e">
        <f>'Financial Model'!#REF!</f>
        <v>#REF!</v>
      </c>
      <c r="G41" t="e">
        <f>'Financial Model'!#REF!</f>
        <v>#REF!</v>
      </c>
      <c r="H41" t="e">
        <f>'Financial Model'!#REF!</f>
        <v>#REF!</v>
      </c>
      <c r="I41" t="e">
        <f>'Financial Model'!#REF!</f>
        <v>#REF!</v>
      </c>
      <c r="J41" t="e">
        <f>'Financial Model'!#REF!</f>
        <v>#REF!</v>
      </c>
      <c r="K41" t="e">
        <f>'Financial Model'!#REF!</f>
        <v>#REF!</v>
      </c>
      <c r="L41" t="e">
        <f>'Financial Model'!#REF!</f>
        <v>#REF!</v>
      </c>
      <c r="M41" t="e">
        <f>'Financial Model'!#REF!</f>
        <v>#REF!</v>
      </c>
      <c r="N41" t="e">
        <f>'Financial Model'!#REF!</f>
        <v>#REF!</v>
      </c>
      <c r="O41" t="e">
        <f>'Financial Model'!#REF!</f>
        <v>#REF!</v>
      </c>
      <c r="P41" t="e">
        <f>'Financial Model'!#REF!</f>
        <v>#REF!</v>
      </c>
      <c r="Q41" t="e">
        <f>'Financial Model'!#REF!</f>
        <v>#REF!</v>
      </c>
      <c r="R41" t="e">
        <f>'Financial Model'!#REF!</f>
        <v>#REF!</v>
      </c>
      <c r="S41" t="e">
        <f>'Financial Model'!#REF!</f>
        <v>#REF!</v>
      </c>
      <c r="T41" t="e">
        <f>'Financial Model'!#REF!</f>
        <v>#REF!</v>
      </c>
      <c r="U41" t="e">
        <f>'Financial Model'!#REF!</f>
        <v>#REF!</v>
      </c>
    </row>
    <row r="42" spans="1:21" x14ac:dyDescent="0.2">
      <c r="A42" t="e">
        <f>'Financial Model'!#REF!</f>
        <v>#REF!</v>
      </c>
      <c r="B42" t="e">
        <f>'Financial Model'!#REF!</f>
        <v>#REF!</v>
      </c>
      <c r="C42" t="e">
        <f>'Financial Model'!#REF!</f>
        <v>#REF!</v>
      </c>
      <c r="D42" t="e">
        <f>'Financial Model'!#REF!</f>
        <v>#REF!</v>
      </c>
      <c r="E42" t="e">
        <f>'Financial Model'!#REF!</f>
        <v>#REF!</v>
      </c>
      <c r="F42" t="e">
        <f>'Financial Model'!#REF!</f>
        <v>#REF!</v>
      </c>
      <c r="G42" t="e">
        <f>'Financial Model'!#REF!</f>
        <v>#REF!</v>
      </c>
      <c r="H42" t="e">
        <f>'Financial Model'!#REF!</f>
        <v>#REF!</v>
      </c>
      <c r="I42" t="e">
        <f>'Financial Model'!#REF!</f>
        <v>#REF!</v>
      </c>
      <c r="J42" t="e">
        <f>'Financial Model'!#REF!</f>
        <v>#REF!</v>
      </c>
      <c r="K42" t="e">
        <f>'Financial Model'!#REF!</f>
        <v>#REF!</v>
      </c>
      <c r="L42" t="e">
        <f>'Financial Model'!#REF!</f>
        <v>#REF!</v>
      </c>
      <c r="M42" t="e">
        <f>'Financial Model'!#REF!</f>
        <v>#REF!</v>
      </c>
      <c r="N42" t="e">
        <f>'Financial Model'!#REF!</f>
        <v>#REF!</v>
      </c>
      <c r="O42" t="e">
        <f>'Financial Model'!#REF!</f>
        <v>#REF!</v>
      </c>
      <c r="P42" t="e">
        <f>'Financial Model'!#REF!</f>
        <v>#REF!</v>
      </c>
      <c r="Q42" t="e">
        <f>'Financial Model'!#REF!</f>
        <v>#REF!</v>
      </c>
      <c r="R42" t="e">
        <f>'Financial Model'!#REF!</f>
        <v>#REF!</v>
      </c>
      <c r="S42" t="e">
        <f>'Financial Model'!#REF!</f>
        <v>#REF!</v>
      </c>
      <c r="T42" t="e">
        <f>'Financial Model'!#REF!</f>
        <v>#REF!</v>
      </c>
      <c r="U42" t="e">
        <f>'Financial Model'!#REF!</f>
        <v>#REF!</v>
      </c>
    </row>
    <row r="43" spans="1:21" x14ac:dyDescent="0.2">
      <c r="A43" t="e">
        <f>'Financial Model'!#REF!</f>
        <v>#REF!</v>
      </c>
      <c r="B43" t="e">
        <f>'Financial Model'!#REF!</f>
        <v>#REF!</v>
      </c>
      <c r="C43" t="e">
        <f>'Financial Model'!#REF!</f>
        <v>#REF!</v>
      </c>
      <c r="D43" t="e">
        <f>'Financial Model'!#REF!</f>
        <v>#REF!</v>
      </c>
      <c r="E43" t="e">
        <f>'Financial Model'!#REF!</f>
        <v>#REF!</v>
      </c>
      <c r="F43" t="e">
        <f>'Financial Model'!#REF!</f>
        <v>#REF!</v>
      </c>
      <c r="G43" t="e">
        <f>'Financial Model'!#REF!</f>
        <v>#REF!</v>
      </c>
      <c r="H43" t="e">
        <f>'Financial Model'!#REF!</f>
        <v>#REF!</v>
      </c>
      <c r="I43" t="e">
        <f>'Financial Model'!#REF!</f>
        <v>#REF!</v>
      </c>
      <c r="J43" t="e">
        <f>'Financial Model'!#REF!</f>
        <v>#REF!</v>
      </c>
      <c r="K43" t="e">
        <f>'Financial Model'!#REF!</f>
        <v>#REF!</v>
      </c>
      <c r="L43" t="e">
        <f>'Financial Model'!#REF!</f>
        <v>#REF!</v>
      </c>
      <c r="M43" t="e">
        <f>'Financial Model'!#REF!</f>
        <v>#REF!</v>
      </c>
      <c r="N43" t="e">
        <f>'Financial Model'!#REF!</f>
        <v>#REF!</v>
      </c>
      <c r="O43" t="e">
        <f>'Financial Model'!#REF!</f>
        <v>#REF!</v>
      </c>
      <c r="P43" t="e">
        <f>'Financial Model'!#REF!</f>
        <v>#REF!</v>
      </c>
      <c r="Q43" t="e">
        <f>'Financial Model'!#REF!</f>
        <v>#REF!</v>
      </c>
      <c r="R43" t="e">
        <f>'Financial Model'!#REF!</f>
        <v>#REF!</v>
      </c>
      <c r="S43" t="e">
        <f>'Financial Model'!#REF!</f>
        <v>#REF!</v>
      </c>
      <c r="T43" t="e">
        <f>'Financial Model'!#REF!</f>
        <v>#REF!</v>
      </c>
      <c r="U43" t="e">
        <f>'Financial Model'!#REF!</f>
        <v>#REF!</v>
      </c>
    </row>
    <row r="44" spans="1:21" x14ac:dyDescent="0.2">
      <c r="A44" t="e">
        <f>'Financial Model'!#REF!</f>
        <v>#REF!</v>
      </c>
      <c r="B44" t="e">
        <f>'Financial Model'!#REF!</f>
        <v>#REF!</v>
      </c>
      <c r="C44" t="e">
        <f>'Financial Model'!#REF!</f>
        <v>#REF!</v>
      </c>
      <c r="D44" t="e">
        <f>'Financial Model'!#REF!</f>
        <v>#REF!</v>
      </c>
      <c r="E44" t="e">
        <f>'Financial Model'!#REF!</f>
        <v>#REF!</v>
      </c>
      <c r="F44" t="e">
        <f>'Financial Model'!#REF!</f>
        <v>#REF!</v>
      </c>
      <c r="G44" t="e">
        <f>'Financial Model'!#REF!</f>
        <v>#REF!</v>
      </c>
      <c r="H44" t="e">
        <f>'Financial Model'!#REF!</f>
        <v>#REF!</v>
      </c>
      <c r="I44" t="e">
        <f>'Financial Model'!#REF!</f>
        <v>#REF!</v>
      </c>
      <c r="J44" t="e">
        <f>'Financial Model'!#REF!</f>
        <v>#REF!</v>
      </c>
      <c r="K44" t="e">
        <f>'Financial Model'!#REF!</f>
        <v>#REF!</v>
      </c>
      <c r="L44" t="e">
        <f>'Financial Model'!#REF!</f>
        <v>#REF!</v>
      </c>
      <c r="M44" t="e">
        <f>'Financial Model'!#REF!</f>
        <v>#REF!</v>
      </c>
      <c r="N44" t="e">
        <f>'Financial Model'!#REF!</f>
        <v>#REF!</v>
      </c>
      <c r="O44" t="e">
        <f>'Financial Model'!#REF!</f>
        <v>#REF!</v>
      </c>
      <c r="P44" t="e">
        <f>'Financial Model'!#REF!</f>
        <v>#REF!</v>
      </c>
      <c r="Q44" t="e">
        <f>'Financial Model'!#REF!</f>
        <v>#REF!</v>
      </c>
      <c r="R44" t="e">
        <f>'Financial Model'!#REF!</f>
        <v>#REF!</v>
      </c>
      <c r="S44" t="e">
        <f>'Financial Model'!#REF!</f>
        <v>#REF!</v>
      </c>
      <c r="T44" t="e">
        <f>'Financial Model'!#REF!</f>
        <v>#REF!</v>
      </c>
      <c r="U44" t="e">
        <f>'Financial Model'!#REF!</f>
        <v>#REF!</v>
      </c>
    </row>
    <row r="45" spans="1:21" x14ac:dyDescent="0.2">
      <c r="A45" t="str">
        <f>'Financial Model'!H37</f>
        <v>Total COGS</v>
      </c>
      <c r="B45">
        <f>'Financial Model'!I37</f>
        <v>-13755.919999999998</v>
      </c>
      <c r="C45">
        <f>'Financial Model'!J37</f>
        <v>-13993.544749999999</v>
      </c>
      <c r="D45">
        <f>'Financial Model'!K37</f>
        <v>-16362.575118749999</v>
      </c>
      <c r="E45">
        <f>'Financial Model'!L37</f>
        <v>-17249.869121718748</v>
      </c>
      <c r="F45">
        <f>'Financial Model'!M37</f>
        <v>-18557.870162261715</v>
      </c>
      <c r="G45">
        <f>'Financial Model'!N37</f>
        <v>-20030.084375693255</v>
      </c>
      <c r="H45">
        <f>'Financial Model'!O37</f>
        <v>-22154.147094679338</v>
      </c>
      <c r="I45">
        <f>'Financial Model'!P37</f>
        <v>-24655.97350355882</v>
      </c>
      <c r="J45">
        <f>'Financial Model'!Q37</f>
        <v>-27609.94011896279</v>
      </c>
      <c r="K45">
        <f>'Financial Model'!R37</f>
        <v>-32708.172631530862</v>
      </c>
      <c r="L45">
        <f>'Financial Model'!S37</f>
        <v>-39256.25615979133</v>
      </c>
      <c r="M45">
        <f>'Financial Model'!T37</f>
        <v>-47687.155539999978</v>
      </c>
      <c r="N45">
        <f>'Financial Model'!U37</f>
        <v>-53281.307550808153</v>
      </c>
      <c r="O45">
        <f>'Financial Model'!V37</f>
        <v>-59675.609330232779</v>
      </c>
      <c r="P45">
        <f>'Financial Model'!W37</f>
        <v>-69317.752799442213</v>
      </c>
      <c r="Q45">
        <f>'Financial Model'!X37</f>
        <v>-80831.000502572584</v>
      </c>
      <c r="R45">
        <f>'Financial Model'!Y37</f>
        <v>-91234.893129260599</v>
      </c>
      <c r="S45">
        <f>'Financial Model'!Z37</f>
        <v>-103156.3507137344</v>
      </c>
      <c r="T45">
        <f>'Financial Model'!AA37</f>
        <v>-116821.93252625635</v>
      </c>
      <c r="U45">
        <f>'Financial Model'!AB37</f>
        <v>-132492.15484079317</v>
      </c>
    </row>
    <row r="46" spans="1:21" x14ac:dyDescent="0.2">
      <c r="A46" t="e">
        <f>'Financial Model'!#REF!</f>
        <v>#REF!</v>
      </c>
      <c r="B46" t="e">
        <f>'Financial Model'!#REF!</f>
        <v>#REF!</v>
      </c>
      <c r="C46" t="e">
        <f>'Financial Model'!#REF!</f>
        <v>#REF!</v>
      </c>
      <c r="D46" t="e">
        <f>'Financial Model'!#REF!</f>
        <v>#REF!</v>
      </c>
      <c r="E46" t="e">
        <f>'Financial Model'!#REF!</f>
        <v>#REF!</v>
      </c>
      <c r="F46" t="e">
        <f>'Financial Model'!#REF!</f>
        <v>#REF!</v>
      </c>
      <c r="G46" t="e">
        <f>'Financial Model'!#REF!</f>
        <v>#REF!</v>
      </c>
      <c r="H46" t="e">
        <f>'Financial Model'!#REF!</f>
        <v>#REF!</v>
      </c>
      <c r="I46" t="e">
        <f>'Financial Model'!#REF!</f>
        <v>#REF!</v>
      </c>
      <c r="J46" t="e">
        <f>'Financial Model'!#REF!</f>
        <v>#REF!</v>
      </c>
      <c r="K46" t="e">
        <f>'Financial Model'!#REF!</f>
        <v>#REF!</v>
      </c>
      <c r="L46" t="e">
        <f>'Financial Model'!#REF!</f>
        <v>#REF!</v>
      </c>
      <c r="M46" t="e">
        <f>'Financial Model'!#REF!</f>
        <v>#REF!</v>
      </c>
      <c r="N46" t="e">
        <f>'Financial Model'!#REF!</f>
        <v>#REF!</v>
      </c>
      <c r="O46" t="e">
        <f>'Financial Model'!#REF!</f>
        <v>#REF!</v>
      </c>
      <c r="P46" t="e">
        <f>'Financial Model'!#REF!</f>
        <v>#REF!</v>
      </c>
      <c r="Q46" t="e">
        <f>'Financial Model'!#REF!</f>
        <v>#REF!</v>
      </c>
      <c r="R46" t="e">
        <f>'Financial Model'!#REF!</f>
        <v>#REF!</v>
      </c>
      <c r="S46" t="e">
        <f>'Financial Model'!#REF!</f>
        <v>#REF!</v>
      </c>
      <c r="T46" t="e">
        <f>'Financial Model'!#REF!</f>
        <v>#REF!</v>
      </c>
      <c r="U46" t="e">
        <f>'Financial Model'!#REF!</f>
        <v>#REF!</v>
      </c>
    </row>
    <row r="47" spans="1:21" x14ac:dyDescent="0.2">
      <c r="A47" t="e">
        <f>'Financial Model'!#REF!</f>
        <v>#REF!</v>
      </c>
      <c r="B47" t="e">
        <f>'Financial Model'!#REF!</f>
        <v>#REF!</v>
      </c>
      <c r="C47" t="e">
        <f>'Financial Model'!#REF!</f>
        <v>#REF!</v>
      </c>
      <c r="D47" t="e">
        <f>'Financial Model'!#REF!</f>
        <v>#REF!</v>
      </c>
      <c r="E47" t="e">
        <f>'Financial Model'!#REF!</f>
        <v>#REF!</v>
      </c>
      <c r="F47" t="e">
        <f>'Financial Model'!#REF!</f>
        <v>#REF!</v>
      </c>
      <c r="G47" t="e">
        <f>'Financial Model'!#REF!</f>
        <v>#REF!</v>
      </c>
      <c r="H47" t="e">
        <f>'Financial Model'!#REF!</f>
        <v>#REF!</v>
      </c>
      <c r="I47" t="e">
        <f>'Financial Model'!#REF!</f>
        <v>#REF!</v>
      </c>
      <c r="J47" t="e">
        <f>'Financial Model'!#REF!</f>
        <v>#REF!</v>
      </c>
      <c r="K47" t="e">
        <f>'Financial Model'!#REF!</f>
        <v>#REF!</v>
      </c>
      <c r="L47" t="e">
        <f>'Financial Model'!#REF!</f>
        <v>#REF!</v>
      </c>
      <c r="M47" t="e">
        <f>'Financial Model'!#REF!</f>
        <v>#REF!</v>
      </c>
      <c r="N47" t="e">
        <f>'Financial Model'!#REF!</f>
        <v>#REF!</v>
      </c>
      <c r="O47" t="e">
        <f>'Financial Model'!#REF!</f>
        <v>#REF!</v>
      </c>
      <c r="P47" t="e">
        <f>'Financial Model'!#REF!</f>
        <v>#REF!</v>
      </c>
      <c r="Q47" t="e">
        <f>'Financial Model'!#REF!</f>
        <v>#REF!</v>
      </c>
      <c r="R47" t="e">
        <f>'Financial Model'!#REF!</f>
        <v>#REF!</v>
      </c>
      <c r="S47" t="e">
        <f>'Financial Model'!#REF!</f>
        <v>#REF!</v>
      </c>
      <c r="T47" t="e">
        <f>'Financial Model'!#REF!</f>
        <v>#REF!</v>
      </c>
      <c r="U47" t="e">
        <f>'Financial Model'!#REF!</f>
        <v>#REF!</v>
      </c>
    </row>
    <row r="48" spans="1:21" x14ac:dyDescent="0.2">
      <c r="A48" t="e">
        <f>'Financial Model'!#REF!</f>
        <v>#REF!</v>
      </c>
      <c r="B48" t="e">
        <f>'Financial Model'!#REF!</f>
        <v>#REF!</v>
      </c>
      <c r="C48" t="e">
        <f>'Financial Model'!#REF!</f>
        <v>#REF!</v>
      </c>
      <c r="D48" t="e">
        <f>'Financial Model'!#REF!</f>
        <v>#REF!</v>
      </c>
      <c r="E48" t="e">
        <f>'Financial Model'!#REF!</f>
        <v>#REF!</v>
      </c>
      <c r="F48" t="e">
        <f>'Financial Model'!#REF!</f>
        <v>#REF!</v>
      </c>
      <c r="G48" t="e">
        <f>'Financial Model'!#REF!</f>
        <v>#REF!</v>
      </c>
      <c r="H48" t="e">
        <f>'Financial Model'!#REF!</f>
        <v>#REF!</v>
      </c>
      <c r="I48" t="e">
        <f>'Financial Model'!#REF!</f>
        <v>#REF!</v>
      </c>
      <c r="J48" t="e">
        <f>'Financial Model'!#REF!</f>
        <v>#REF!</v>
      </c>
      <c r="K48" t="e">
        <f>'Financial Model'!#REF!</f>
        <v>#REF!</v>
      </c>
      <c r="L48" t="e">
        <f>'Financial Model'!#REF!</f>
        <v>#REF!</v>
      </c>
      <c r="M48" t="e">
        <f>'Financial Model'!#REF!</f>
        <v>#REF!</v>
      </c>
      <c r="N48" t="e">
        <f>'Financial Model'!#REF!</f>
        <v>#REF!</v>
      </c>
      <c r="O48" t="e">
        <f>'Financial Model'!#REF!</f>
        <v>#REF!</v>
      </c>
      <c r="P48" t="e">
        <f>'Financial Model'!#REF!</f>
        <v>#REF!</v>
      </c>
      <c r="Q48" t="e">
        <f>'Financial Model'!#REF!</f>
        <v>#REF!</v>
      </c>
      <c r="R48" t="e">
        <f>'Financial Model'!#REF!</f>
        <v>#REF!</v>
      </c>
      <c r="S48" t="e">
        <f>'Financial Model'!#REF!</f>
        <v>#REF!</v>
      </c>
      <c r="T48" t="e">
        <f>'Financial Model'!#REF!</f>
        <v>#REF!</v>
      </c>
      <c r="U48" t="e">
        <f>'Financial Model'!#REF!</f>
        <v>#REF!</v>
      </c>
    </row>
    <row r="49" spans="1:21" x14ac:dyDescent="0.2">
      <c r="A49" t="e">
        <f>'Financial Model'!#REF!</f>
        <v>#REF!</v>
      </c>
      <c r="B49" t="e">
        <f>'Financial Model'!#REF!</f>
        <v>#REF!</v>
      </c>
      <c r="C49" t="e">
        <f>'Financial Model'!#REF!</f>
        <v>#REF!</v>
      </c>
      <c r="D49" t="e">
        <f>'Financial Model'!#REF!</f>
        <v>#REF!</v>
      </c>
      <c r="E49" t="e">
        <f>'Financial Model'!#REF!</f>
        <v>#REF!</v>
      </c>
      <c r="F49" t="e">
        <f>'Financial Model'!#REF!</f>
        <v>#REF!</v>
      </c>
      <c r="G49" t="e">
        <f>'Financial Model'!#REF!</f>
        <v>#REF!</v>
      </c>
      <c r="H49" t="e">
        <f>'Financial Model'!#REF!</f>
        <v>#REF!</v>
      </c>
      <c r="I49" t="e">
        <f>'Financial Model'!#REF!</f>
        <v>#REF!</v>
      </c>
      <c r="J49" t="e">
        <f>'Financial Model'!#REF!</f>
        <v>#REF!</v>
      </c>
      <c r="K49" t="e">
        <f>'Financial Model'!#REF!</f>
        <v>#REF!</v>
      </c>
      <c r="L49" t="e">
        <f>'Financial Model'!#REF!</f>
        <v>#REF!</v>
      </c>
      <c r="M49" t="e">
        <f>'Financial Model'!#REF!</f>
        <v>#REF!</v>
      </c>
      <c r="N49" t="e">
        <f>'Financial Model'!#REF!</f>
        <v>#REF!</v>
      </c>
      <c r="O49" t="e">
        <f>'Financial Model'!#REF!</f>
        <v>#REF!</v>
      </c>
      <c r="P49" t="e">
        <f>'Financial Model'!#REF!</f>
        <v>#REF!</v>
      </c>
      <c r="Q49" t="e">
        <f>'Financial Model'!#REF!</f>
        <v>#REF!</v>
      </c>
      <c r="R49" t="e">
        <f>'Financial Model'!#REF!</f>
        <v>#REF!</v>
      </c>
      <c r="S49" t="e">
        <f>'Financial Model'!#REF!</f>
        <v>#REF!</v>
      </c>
      <c r="T49" t="e">
        <f>'Financial Model'!#REF!</f>
        <v>#REF!</v>
      </c>
      <c r="U49" t="e">
        <f>'Financial Model'!#REF!</f>
        <v>#REF!</v>
      </c>
    </row>
    <row r="50" spans="1:21" x14ac:dyDescent="0.2">
      <c r="A50" t="e">
        <f>'Financial Model'!#REF!</f>
        <v>#REF!</v>
      </c>
      <c r="B50" t="e">
        <f>'Financial Model'!#REF!</f>
        <v>#REF!</v>
      </c>
      <c r="C50" t="e">
        <f>'Financial Model'!#REF!</f>
        <v>#REF!</v>
      </c>
      <c r="D50" t="e">
        <f>'Financial Model'!#REF!</f>
        <v>#REF!</v>
      </c>
      <c r="E50" t="e">
        <f>'Financial Model'!#REF!</f>
        <v>#REF!</v>
      </c>
      <c r="F50" t="e">
        <f>'Financial Model'!#REF!</f>
        <v>#REF!</v>
      </c>
      <c r="G50" t="e">
        <f>'Financial Model'!#REF!</f>
        <v>#REF!</v>
      </c>
      <c r="H50" t="e">
        <f>'Financial Model'!#REF!</f>
        <v>#REF!</v>
      </c>
      <c r="I50" t="e">
        <f>'Financial Model'!#REF!</f>
        <v>#REF!</v>
      </c>
      <c r="J50" t="e">
        <f>'Financial Model'!#REF!</f>
        <v>#REF!</v>
      </c>
      <c r="K50" t="e">
        <f>'Financial Model'!#REF!</f>
        <v>#REF!</v>
      </c>
      <c r="L50" t="e">
        <f>'Financial Model'!#REF!</f>
        <v>#REF!</v>
      </c>
      <c r="M50" t="e">
        <f>'Financial Model'!#REF!</f>
        <v>#REF!</v>
      </c>
      <c r="N50" t="e">
        <f>'Financial Model'!#REF!</f>
        <v>#REF!</v>
      </c>
      <c r="O50" t="e">
        <f>'Financial Model'!#REF!</f>
        <v>#REF!</v>
      </c>
      <c r="P50" t="e">
        <f>'Financial Model'!#REF!</f>
        <v>#REF!</v>
      </c>
      <c r="Q50" t="e">
        <f>'Financial Model'!#REF!</f>
        <v>#REF!</v>
      </c>
      <c r="R50" t="e">
        <f>'Financial Model'!#REF!</f>
        <v>#REF!</v>
      </c>
      <c r="S50" t="e">
        <f>'Financial Model'!#REF!</f>
        <v>#REF!</v>
      </c>
      <c r="T50" t="e">
        <f>'Financial Model'!#REF!</f>
        <v>#REF!</v>
      </c>
      <c r="U50" t="e">
        <f>'Financial Model'!#REF!</f>
        <v>#REF!</v>
      </c>
    </row>
    <row r="51" spans="1:21" x14ac:dyDescent="0.2">
      <c r="A51" t="e">
        <f>'Financial Model'!#REF!</f>
        <v>#REF!</v>
      </c>
      <c r="B51" t="e">
        <f>'Financial Model'!#REF!</f>
        <v>#REF!</v>
      </c>
      <c r="C51" t="e">
        <f>'Financial Model'!#REF!</f>
        <v>#REF!</v>
      </c>
      <c r="D51" t="e">
        <f>'Financial Model'!#REF!</f>
        <v>#REF!</v>
      </c>
      <c r="E51" t="e">
        <f>'Financial Model'!#REF!</f>
        <v>#REF!</v>
      </c>
      <c r="F51" t="e">
        <f>'Financial Model'!#REF!</f>
        <v>#REF!</v>
      </c>
      <c r="G51" t="e">
        <f>'Financial Model'!#REF!</f>
        <v>#REF!</v>
      </c>
      <c r="H51" t="e">
        <f>'Financial Model'!#REF!</f>
        <v>#REF!</v>
      </c>
      <c r="I51" t="e">
        <f>'Financial Model'!#REF!</f>
        <v>#REF!</v>
      </c>
      <c r="J51" t="e">
        <f>'Financial Model'!#REF!</f>
        <v>#REF!</v>
      </c>
      <c r="K51" t="e">
        <f>'Financial Model'!#REF!</f>
        <v>#REF!</v>
      </c>
      <c r="L51" t="e">
        <f>'Financial Model'!#REF!</f>
        <v>#REF!</v>
      </c>
      <c r="M51" t="e">
        <f>'Financial Model'!#REF!</f>
        <v>#REF!</v>
      </c>
      <c r="N51" t="e">
        <f>'Financial Model'!#REF!</f>
        <v>#REF!</v>
      </c>
      <c r="O51" t="e">
        <f>'Financial Model'!#REF!</f>
        <v>#REF!</v>
      </c>
      <c r="P51" t="e">
        <f>'Financial Model'!#REF!</f>
        <v>#REF!</v>
      </c>
      <c r="Q51" t="e">
        <f>'Financial Model'!#REF!</f>
        <v>#REF!</v>
      </c>
      <c r="R51" t="e">
        <f>'Financial Model'!#REF!</f>
        <v>#REF!</v>
      </c>
      <c r="S51" t="e">
        <f>'Financial Model'!#REF!</f>
        <v>#REF!</v>
      </c>
      <c r="T51" t="e">
        <f>'Financial Model'!#REF!</f>
        <v>#REF!</v>
      </c>
      <c r="U51" t="e">
        <f>'Financial Model'!#REF!</f>
        <v>#REF!</v>
      </c>
    </row>
    <row r="52" spans="1:21" x14ac:dyDescent="0.2">
      <c r="A52" t="e">
        <f>'Financial Model'!#REF!</f>
        <v>#REF!</v>
      </c>
      <c r="B52" t="e">
        <f>'Financial Model'!#REF!</f>
        <v>#REF!</v>
      </c>
      <c r="C52" t="e">
        <f>'Financial Model'!#REF!</f>
        <v>#REF!</v>
      </c>
      <c r="D52" t="e">
        <f>'Financial Model'!#REF!</f>
        <v>#REF!</v>
      </c>
      <c r="E52" t="e">
        <f>'Financial Model'!#REF!</f>
        <v>#REF!</v>
      </c>
      <c r="F52" t="e">
        <f>'Financial Model'!#REF!</f>
        <v>#REF!</v>
      </c>
      <c r="G52" t="e">
        <f>'Financial Model'!#REF!</f>
        <v>#REF!</v>
      </c>
      <c r="H52" t="e">
        <f>'Financial Model'!#REF!</f>
        <v>#REF!</v>
      </c>
      <c r="I52" t="e">
        <f>'Financial Model'!#REF!</f>
        <v>#REF!</v>
      </c>
      <c r="J52" t="e">
        <f>'Financial Model'!#REF!</f>
        <v>#REF!</v>
      </c>
      <c r="K52" t="e">
        <f>'Financial Model'!#REF!</f>
        <v>#REF!</v>
      </c>
      <c r="L52" t="e">
        <f>'Financial Model'!#REF!</f>
        <v>#REF!</v>
      </c>
      <c r="M52" t="e">
        <f>'Financial Model'!#REF!</f>
        <v>#REF!</v>
      </c>
      <c r="N52" t="e">
        <f>'Financial Model'!#REF!</f>
        <v>#REF!</v>
      </c>
      <c r="O52" t="e">
        <f>'Financial Model'!#REF!</f>
        <v>#REF!</v>
      </c>
      <c r="P52" t="e">
        <f>'Financial Model'!#REF!</f>
        <v>#REF!</v>
      </c>
      <c r="Q52" t="e">
        <f>'Financial Model'!#REF!</f>
        <v>#REF!</v>
      </c>
      <c r="R52" t="e">
        <f>'Financial Model'!#REF!</f>
        <v>#REF!</v>
      </c>
      <c r="S52" t="e">
        <f>'Financial Model'!#REF!</f>
        <v>#REF!</v>
      </c>
      <c r="T52" t="e">
        <f>'Financial Model'!#REF!</f>
        <v>#REF!</v>
      </c>
      <c r="U52" t="e">
        <f>'Financial Model'!#REF!</f>
        <v>#REF!</v>
      </c>
    </row>
    <row r="53" spans="1:21" x14ac:dyDescent="0.2">
      <c r="A53" t="e">
        <f>'Financial Model'!#REF!</f>
        <v>#REF!</v>
      </c>
      <c r="B53" t="e">
        <f>'Financial Model'!#REF!</f>
        <v>#REF!</v>
      </c>
      <c r="C53" t="e">
        <f>'Financial Model'!#REF!</f>
        <v>#REF!</v>
      </c>
      <c r="D53" t="e">
        <f>'Financial Model'!#REF!</f>
        <v>#REF!</v>
      </c>
      <c r="E53" t="e">
        <f>'Financial Model'!#REF!</f>
        <v>#REF!</v>
      </c>
      <c r="F53" t="e">
        <f>'Financial Model'!#REF!</f>
        <v>#REF!</v>
      </c>
      <c r="G53" t="e">
        <f>'Financial Model'!#REF!</f>
        <v>#REF!</v>
      </c>
      <c r="H53" t="e">
        <f>'Financial Model'!#REF!</f>
        <v>#REF!</v>
      </c>
      <c r="I53" t="e">
        <f>'Financial Model'!#REF!</f>
        <v>#REF!</v>
      </c>
      <c r="J53" t="e">
        <f>'Financial Model'!#REF!</f>
        <v>#REF!</v>
      </c>
      <c r="K53" t="e">
        <f>'Financial Model'!#REF!</f>
        <v>#REF!</v>
      </c>
      <c r="L53" t="e">
        <f>'Financial Model'!#REF!</f>
        <v>#REF!</v>
      </c>
      <c r="M53" t="e">
        <f>'Financial Model'!#REF!</f>
        <v>#REF!</v>
      </c>
      <c r="N53" t="e">
        <f>'Financial Model'!#REF!</f>
        <v>#REF!</v>
      </c>
      <c r="O53" t="e">
        <f>'Financial Model'!#REF!</f>
        <v>#REF!</v>
      </c>
      <c r="P53" t="e">
        <f>'Financial Model'!#REF!</f>
        <v>#REF!</v>
      </c>
      <c r="Q53" t="e">
        <f>'Financial Model'!#REF!</f>
        <v>#REF!</v>
      </c>
      <c r="R53" t="e">
        <f>'Financial Model'!#REF!</f>
        <v>#REF!</v>
      </c>
      <c r="S53" t="e">
        <f>'Financial Model'!#REF!</f>
        <v>#REF!</v>
      </c>
      <c r="T53" t="e">
        <f>'Financial Model'!#REF!</f>
        <v>#REF!</v>
      </c>
      <c r="U53" t="e">
        <f>'Financial Model'!#REF!</f>
        <v>#REF!</v>
      </c>
    </row>
    <row r="54" spans="1:21" x14ac:dyDescent="0.2">
      <c r="A54">
        <f>'Financial Model'!H39</f>
        <v>0</v>
      </c>
      <c r="B54">
        <f>'Financial Model'!I39</f>
        <v>0</v>
      </c>
      <c r="C54">
        <f>'Financial Model'!J39</f>
        <v>0</v>
      </c>
      <c r="D54">
        <f>'Financial Model'!K39</f>
        <v>0</v>
      </c>
      <c r="E54">
        <f>'Financial Model'!L39</f>
        <v>0</v>
      </c>
      <c r="F54">
        <f>'Financial Model'!M39</f>
        <v>0</v>
      </c>
      <c r="G54">
        <f>'Financial Model'!N39</f>
        <v>0</v>
      </c>
      <c r="H54">
        <f>'Financial Model'!O39</f>
        <v>0</v>
      </c>
      <c r="I54">
        <f>'Financial Model'!P39</f>
        <v>0</v>
      </c>
      <c r="J54">
        <f>'Financial Model'!Q39</f>
        <v>0</v>
      </c>
      <c r="K54">
        <f>'Financial Model'!R39</f>
        <v>0</v>
      </c>
      <c r="L54">
        <f>'Financial Model'!S39</f>
        <v>0</v>
      </c>
      <c r="M54">
        <f>'Financial Model'!T39</f>
        <v>0</v>
      </c>
      <c r="N54">
        <f>'Financial Model'!U39</f>
        <v>0</v>
      </c>
      <c r="O54">
        <f>'Financial Model'!V39</f>
        <v>0</v>
      </c>
      <c r="P54">
        <f>'Financial Model'!W39</f>
        <v>0</v>
      </c>
      <c r="Q54">
        <f>'Financial Model'!X39</f>
        <v>0</v>
      </c>
      <c r="R54">
        <f>'Financial Model'!Y39</f>
        <v>0</v>
      </c>
      <c r="S54">
        <f>'Financial Model'!Z39</f>
        <v>0</v>
      </c>
      <c r="T54">
        <f>'Financial Model'!AA39</f>
        <v>0</v>
      </c>
      <c r="U54">
        <f>'Financial Model'!AB39</f>
        <v>0</v>
      </c>
    </row>
    <row r="55" spans="1:21" x14ac:dyDescent="0.2">
      <c r="A55" t="str">
        <f>'Financial Model'!H40</f>
        <v>Operating Costs</v>
      </c>
      <c r="B55">
        <f>'Financial Model'!I40</f>
        <v>0</v>
      </c>
      <c r="C55">
        <f>'Financial Model'!J40</f>
        <v>0</v>
      </c>
      <c r="D55">
        <f>'Financial Model'!K40</f>
        <v>0</v>
      </c>
      <c r="E55">
        <f>'Financial Model'!L40</f>
        <v>0</v>
      </c>
      <c r="F55">
        <f>'Financial Model'!M40</f>
        <v>0</v>
      </c>
      <c r="G55">
        <f>'Financial Model'!N40</f>
        <v>0</v>
      </c>
      <c r="H55">
        <f>'Financial Model'!O40</f>
        <v>0</v>
      </c>
      <c r="I55">
        <f>'Financial Model'!P40</f>
        <v>0</v>
      </c>
      <c r="J55">
        <f>'Financial Model'!Q40</f>
        <v>0</v>
      </c>
      <c r="K55">
        <f>'Financial Model'!R40</f>
        <v>0</v>
      </c>
      <c r="L55">
        <f>'Financial Model'!S40</f>
        <v>0</v>
      </c>
      <c r="M55">
        <f>'Financial Model'!T40</f>
        <v>0</v>
      </c>
      <c r="N55">
        <f>'Financial Model'!U40</f>
        <v>0</v>
      </c>
      <c r="O55">
        <f>'Financial Model'!V40</f>
        <v>0</v>
      </c>
      <c r="P55">
        <f>'Financial Model'!W40</f>
        <v>0</v>
      </c>
      <c r="Q55">
        <f>'Financial Model'!X40</f>
        <v>0</v>
      </c>
      <c r="R55">
        <f>'Financial Model'!Y40</f>
        <v>0</v>
      </c>
      <c r="S55">
        <f>'Financial Model'!Z40</f>
        <v>0</v>
      </c>
      <c r="T55">
        <f>'Financial Model'!AA40</f>
        <v>0</v>
      </c>
      <c r="U55">
        <f>'Financial Model'!AB40</f>
        <v>0</v>
      </c>
    </row>
    <row r="56" spans="1:21" x14ac:dyDescent="0.2">
      <c r="A56" t="str">
        <f>'Financial Model'!H41</f>
        <v>Bank Service  Charges</v>
      </c>
      <c r="B56">
        <f>'Financial Model'!I41</f>
        <v>-250</v>
      </c>
      <c r="C56">
        <f>'Financial Model'!J41</f>
        <v>-250</v>
      </c>
      <c r="D56">
        <f>'Financial Model'!K41</f>
        <v>-250</v>
      </c>
      <c r="E56">
        <f>'Financial Model'!L41</f>
        <v>-250</v>
      </c>
      <c r="F56">
        <f>'Financial Model'!M41</f>
        <v>-250</v>
      </c>
      <c r="G56">
        <f>'Financial Model'!N41</f>
        <v>-250</v>
      </c>
      <c r="H56">
        <f>'Financial Model'!O41</f>
        <v>-250</v>
      </c>
      <c r="I56">
        <f>'Financial Model'!P41</f>
        <v>-250</v>
      </c>
      <c r="J56">
        <f>'Financial Model'!Q41</f>
        <v>-250</v>
      </c>
      <c r="K56">
        <f>'Financial Model'!R41</f>
        <v>-250</v>
      </c>
      <c r="L56">
        <f>'Financial Model'!S41</f>
        <v>-250</v>
      </c>
      <c r="M56">
        <f>'Financial Model'!T41</f>
        <v>-250</v>
      </c>
      <c r="N56">
        <f>'Financial Model'!U41</f>
        <v>-250</v>
      </c>
      <c r="O56">
        <f>'Financial Model'!V41</f>
        <v>-250</v>
      </c>
      <c r="P56">
        <f>'Financial Model'!W41</f>
        <v>-250</v>
      </c>
      <c r="Q56">
        <f>'Financial Model'!X41</f>
        <v>-250</v>
      </c>
      <c r="R56">
        <f>'Financial Model'!Y41</f>
        <v>-250</v>
      </c>
      <c r="S56">
        <f>'Financial Model'!Z41</f>
        <v>-250</v>
      </c>
      <c r="T56">
        <f>'Financial Model'!AA41</f>
        <v>-250</v>
      </c>
      <c r="U56">
        <f>'Financial Model'!AB41</f>
        <v>-250</v>
      </c>
    </row>
    <row r="57" spans="1:21" x14ac:dyDescent="0.2">
      <c r="A57" t="str">
        <f>'Financial Model'!H42</f>
        <v xml:space="preserve">   Total Contract labor</v>
      </c>
      <c r="B57">
        <f>'Financial Model'!I42</f>
        <v>-67256.132954545494</v>
      </c>
      <c r="C57">
        <f>'Financial Model'!J42</f>
        <v>-70618.939602272774</v>
      </c>
      <c r="D57">
        <f>'Financial Model'!K42</f>
        <v>-74149.886582386418</v>
      </c>
      <c r="E57">
        <f>'Financial Model'!L42</f>
        <v>-77857.380911505737</v>
      </c>
      <c r="F57">
        <f>'Financial Model'!M42</f>
        <v>-85643.119002656313</v>
      </c>
      <c r="G57">
        <f>'Financial Model'!N42</f>
        <v>-94207.430902921958</v>
      </c>
      <c r="H57">
        <f>'Financial Model'!O42</f>
        <v>-103628.17399321416</v>
      </c>
      <c r="I57">
        <f>'Financial Model'!P42</f>
        <v>-113990.99139253559</v>
      </c>
      <c r="J57">
        <f>'Financial Model'!Q42</f>
        <v>-119690.54096216238</v>
      </c>
      <c r="K57">
        <f>'Financial Model'!R42</f>
        <v>-125675.06801027051</v>
      </c>
      <c r="L57">
        <f>'Financial Model'!S42</f>
        <v>-131958.82141078403</v>
      </c>
      <c r="M57">
        <f>'Financial Model'!T42</f>
        <v>-138556.76248132324</v>
      </c>
      <c r="N57">
        <f>'Financial Model'!U42</f>
        <v>-138556.76248132324</v>
      </c>
      <c r="O57">
        <f>'Financial Model'!V42</f>
        <v>-138556.76248132324</v>
      </c>
      <c r="P57">
        <f>'Financial Model'!W42</f>
        <v>-142020.6815433563</v>
      </c>
      <c r="Q57">
        <f>'Financial Model'!X42</f>
        <v>-145571.1985819402</v>
      </c>
      <c r="R57">
        <f>'Financial Model'!Y42</f>
        <v>-149210.47854648871</v>
      </c>
      <c r="S57">
        <f>'Financial Model'!Z42</f>
        <v>-152940.74051015091</v>
      </c>
      <c r="T57">
        <f>'Financial Model'!AA42</f>
        <v>-156764.25902290468</v>
      </c>
      <c r="U57">
        <f>'Financial Model'!AB42</f>
        <v>-160683.36549847727</v>
      </c>
    </row>
    <row r="58" spans="1:21" x14ac:dyDescent="0.2">
      <c r="A58" t="str">
        <f>'Financial Model'!H43</f>
        <v>Lincense  and Subscription Fees</v>
      </c>
      <c r="B58">
        <f>'Financial Model'!I43</f>
        <v>-121.363636363636</v>
      </c>
      <c r="C58">
        <f>'Financial Model'!J43</f>
        <v>-124.3977272727269</v>
      </c>
      <c r="D58">
        <f>'Financial Model'!K43</f>
        <v>-127.50767045454506</v>
      </c>
      <c r="E58">
        <f>'Financial Model'!L43</f>
        <v>-130.69536221590869</v>
      </c>
      <c r="F58">
        <f>'Financial Model'!M43</f>
        <v>-133.9627462713064</v>
      </c>
      <c r="G58">
        <f>'Financial Model'!N43</f>
        <v>-137.31181492808903</v>
      </c>
      <c r="H58">
        <f>'Financial Model'!O43</f>
        <v>-140.74461030129126</v>
      </c>
      <c r="I58">
        <f>'Financial Model'!P43</f>
        <v>-144.26322555882354</v>
      </c>
      <c r="J58">
        <f>'Financial Model'!Q43</f>
        <v>-147.86980619779411</v>
      </c>
      <c r="K58">
        <f>'Financial Model'!R43</f>
        <v>-151.56655135273894</v>
      </c>
      <c r="L58">
        <f>'Financial Model'!S43</f>
        <v>-155.35571513655739</v>
      </c>
      <c r="M58">
        <f>'Financial Model'!T43</f>
        <v>-159.23960801497131</v>
      </c>
      <c r="N58">
        <f>'Financial Model'!U43</f>
        <v>-163.22059821534557</v>
      </c>
      <c r="O58">
        <f>'Financial Model'!V43</f>
        <v>-167.3011131707292</v>
      </c>
      <c r="P58">
        <f>'Financial Model'!W43</f>
        <v>-171.48364099999742</v>
      </c>
      <c r="Q58">
        <f>'Financial Model'!X43</f>
        <v>-175.77073202499733</v>
      </c>
      <c r="R58">
        <f>'Financial Model'!Y43</f>
        <v>-180.16500032562226</v>
      </c>
      <c r="S58">
        <f>'Financial Model'!Z43</f>
        <v>-184.66912533376279</v>
      </c>
      <c r="T58">
        <f>'Financial Model'!AA43</f>
        <v>-189.28585346710685</v>
      </c>
      <c r="U58">
        <f>'Financial Model'!AB43</f>
        <v>-194.01799980378451</v>
      </c>
    </row>
    <row r="59" spans="1:21" x14ac:dyDescent="0.2">
      <c r="A59" t="str">
        <f>'Financial Model'!H55</f>
        <v>Health Insurance Expense</v>
      </c>
      <c r="B59">
        <f>'Financial Model'!I55</f>
        <v>0</v>
      </c>
      <c r="C59">
        <f>'Financial Model'!J55</f>
        <v>0</v>
      </c>
      <c r="D59">
        <f>'Financial Model'!K55</f>
        <v>0</v>
      </c>
      <c r="E59">
        <f>'Financial Model'!L55</f>
        <v>0</v>
      </c>
      <c r="F59">
        <f>'Financial Model'!M55</f>
        <v>0</v>
      </c>
      <c r="G59">
        <f>'Financial Model'!N55</f>
        <v>3</v>
      </c>
      <c r="H59">
        <f>'Financial Model'!O55</f>
        <v>-13303.198439592848</v>
      </c>
      <c r="I59">
        <f>'Financial Model'!P55</f>
        <v>-14142.069083552135</v>
      </c>
      <c r="J59">
        <f>'Financial Model'!Q55</f>
        <v>-14744.56397772974</v>
      </c>
      <c r="K59">
        <f>'Financial Model'!R55</f>
        <v>-15572.57505661623</v>
      </c>
      <c r="L59">
        <f>'Financial Model'!S55</f>
        <v>-15572.57505661623</v>
      </c>
      <c r="M59">
        <f>'Financial Model'!T55</f>
        <v>-15572.57505661623</v>
      </c>
      <c r="N59">
        <f>'Financial Model'!U55</f>
        <v>-15572.57505661623</v>
      </c>
      <c r="O59">
        <f>'Financial Model'!V55</f>
        <v>-15572.57505661623</v>
      </c>
      <c r="P59">
        <f>'Financial Model'!W55</f>
        <v>-15572.57505661623</v>
      </c>
      <c r="Q59">
        <f>'Financial Model'!X55</f>
        <v>-15572.57505661623</v>
      </c>
      <c r="R59">
        <f>'Financial Model'!Y55</f>
        <v>-15572.57505661623</v>
      </c>
      <c r="S59">
        <f>'Financial Model'!Z55</f>
        <v>-15572.57505661623</v>
      </c>
      <c r="T59">
        <f>'Financial Model'!AA55</f>
        <v>-15572.57505661623</v>
      </c>
      <c r="U59">
        <f>'Financial Model'!AB55</f>
        <v>-15572.57505661623</v>
      </c>
    </row>
    <row r="60" spans="1:21" x14ac:dyDescent="0.2">
      <c r="A60" t="str">
        <f>'Financial Model'!H56</f>
        <v>Work Comp and Liability Insurance</v>
      </c>
      <c r="B60">
        <f>'Financial Model'!I56</f>
        <v>0</v>
      </c>
      <c r="C60">
        <f>'Financial Model'!J56</f>
        <v>0</v>
      </c>
      <c r="D60">
        <f>'Financial Model'!K56</f>
        <v>0</v>
      </c>
      <c r="E60">
        <f>'Financial Model'!L56</f>
        <v>0</v>
      </c>
      <c r="F60">
        <f>'Financial Model'!M56</f>
        <v>0</v>
      </c>
      <c r="G60">
        <f>'Financial Model'!N56</f>
        <v>-2563.0049999999997</v>
      </c>
      <c r="H60">
        <f>'Financial Model'!O56</f>
        <v>-3075.6059999999993</v>
      </c>
      <c r="I60">
        <f>'Financial Model'!P56</f>
        <v>-3690.7271999999998</v>
      </c>
      <c r="J60">
        <f>'Financial Model'!Q56</f>
        <v>-4428.8726399999987</v>
      </c>
      <c r="K60">
        <f>'Financial Model'!R56</f>
        <v>-5757.5344319999995</v>
      </c>
      <c r="L60">
        <f>'Financial Model'!S56</f>
        <v>-7484.7947615999992</v>
      </c>
      <c r="M60">
        <f>'Financial Model'!T56</f>
        <v>-10045.382443199998</v>
      </c>
      <c r="N60">
        <f>'Financial Model'!U56</f>
        <v>-11552.189809679998</v>
      </c>
      <c r="O60">
        <f>'Financial Model'!V56</f>
        <v>-13285.018281131994</v>
      </c>
      <c r="P60">
        <f>'Financial Model'!W56</f>
        <v>-15650.272516282555</v>
      </c>
      <c r="Q60">
        <f>'Financial Model'!X56</f>
        <v>-18444.815185301846</v>
      </c>
      <c r="R60">
        <f>'Financial Model'!Y56</f>
        <v>-21211.537463097124</v>
      </c>
      <c r="S60">
        <f>'Financial Model'!Z56</f>
        <v>-24393.268082561692</v>
      </c>
      <c r="T60">
        <f>'Financial Model'!AA56</f>
        <v>-28052.258294945943</v>
      </c>
      <c r="U60">
        <f>'Financial Model'!AB56</f>
        <v>-32260.097039187833</v>
      </c>
    </row>
    <row r="61" spans="1:21" x14ac:dyDescent="0.2">
      <c r="A61" t="e">
        <f>'Financial Model'!#REF!</f>
        <v>#REF!</v>
      </c>
      <c r="B61" t="e">
        <f>'Financial Model'!#REF!</f>
        <v>#REF!</v>
      </c>
      <c r="C61" t="e">
        <f>'Financial Model'!#REF!</f>
        <v>#REF!</v>
      </c>
      <c r="D61" t="e">
        <f>'Financial Model'!#REF!</f>
        <v>#REF!</v>
      </c>
      <c r="E61" t="e">
        <f>'Financial Model'!#REF!</f>
        <v>#REF!</v>
      </c>
      <c r="F61" t="e">
        <f>'Financial Model'!#REF!</f>
        <v>#REF!</v>
      </c>
      <c r="G61" t="e">
        <f>'Financial Model'!#REF!</f>
        <v>#REF!</v>
      </c>
      <c r="H61" t="e">
        <f>'Financial Model'!#REF!</f>
        <v>#REF!</v>
      </c>
      <c r="I61" t="e">
        <f>'Financial Model'!#REF!</f>
        <v>#REF!</v>
      </c>
      <c r="J61" t="e">
        <f>'Financial Model'!#REF!</f>
        <v>#REF!</v>
      </c>
      <c r="K61" t="e">
        <f>'Financial Model'!#REF!</f>
        <v>#REF!</v>
      </c>
      <c r="L61" t="e">
        <f>'Financial Model'!#REF!</f>
        <v>#REF!</v>
      </c>
      <c r="M61" t="e">
        <f>'Financial Model'!#REF!</f>
        <v>#REF!</v>
      </c>
      <c r="N61" t="e">
        <f>'Financial Model'!#REF!</f>
        <v>#REF!</v>
      </c>
      <c r="O61" t="e">
        <f>'Financial Model'!#REF!</f>
        <v>#REF!</v>
      </c>
      <c r="P61" t="e">
        <f>'Financial Model'!#REF!</f>
        <v>#REF!</v>
      </c>
      <c r="Q61" t="e">
        <f>'Financial Model'!#REF!</f>
        <v>#REF!</v>
      </c>
      <c r="R61" t="e">
        <f>'Financial Model'!#REF!</f>
        <v>#REF!</v>
      </c>
      <c r="S61" t="e">
        <f>'Financial Model'!#REF!</f>
        <v>#REF!</v>
      </c>
      <c r="T61" t="e">
        <f>'Financial Model'!#REF!</f>
        <v>#REF!</v>
      </c>
      <c r="U61" t="e">
        <f>'Financial Model'!#REF!</f>
        <v>#REF!</v>
      </c>
    </row>
    <row r="62" spans="1:21" x14ac:dyDescent="0.2">
      <c r="A62" t="str">
        <f>'Financial Model'!H57</f>
        <v>Meals and Entertainment</v>
      </c>
      <c r="B62">
        <f>'Financial Model'!I57</f>
        <v>-1000</v>
      </c>
      <c r="C62">
        <f>'Financial Model'!J57</f>
        <v>-1050</v>
      </c>
      <c r="D62">
        <f>'Financial Model'!K57</f>
        <v>-1155</v>
      </c>
      <c r="E62">
        <f>'Financial Model'!L57</f>
        <v>-1270.5</v>
      </c>
      <c r="F62">
        <f>'Financial Model'!M57</f>
        <v>-1397.5500000000002</v>
      </c>
      <c r="G62">
        <f>'Financial Model'!N57</f>
        <v>-1537.3050000000003</v>
      </c>
      <c r="H62">
        <f>'Financial Model'!O57</f>
        <v>-1691.0355000000004</v>
      </c>
      <c r="I62">
        <f>'Financial Model'!P57</f>
        <v>-1860.1390500000007</v>
      </c>
      <c r="J62">
        <f>'Financial Model'!Q57</f>
        <v>-2046.1529550000009</v>
      </c>
      <c r="K62">
        <f>'Financial Model'!R57</f>
        <v>-2250.7682505000012</v>
      </c>
      <c r="L62">
        <f>'Financial Model'!S57</f>
        <v>-2475.8450755500016</v>
      </c>
      <c r="M62">
        <f>'Financial Model'!T57</f>
        <v>-2723.4295831050022</v>
      </c>
      <c r="N62">
        <f>'Financial Model'!U57</f>
        <v>-2791.5153226826269</v>
      </c>
      <c r="O62">
        <f>'Financial Model'!V57</f>
        <v>-2861.3032057496926</v>
      </c>
      <c r="P62">
        <f>'Financial Model'!W57</f>
        <v>-2932.8357858934346</v>
      </c>
      <c r="Q62">
        <f>'Financial Model'!X57</f>
        <v>-3006.1566805407701</v>
      </c>
      <c r="R62">
        <f>'Financial Model'!Y57</f>
        <v>-3081.310597554289</v>
      </c>
      <c r="S62">
        <f>'Financial Model'!Z57</f>
        <v>-3158.3433624931458</v>
      </c>
      <c r="T62">
        <f>'Financial Model'!AA57</f>
        <v>-3237.3019465554744</v>
      </c>
      <c r="U62">
        <f>'Financial Model'!AB57</f>
        <v>-3318.2344952193612</v>
      </c>
    </row>
    <row r="63" spans="1:21" x14ac:dyDescent="0.2">
      <c r="A63" t="str">
        <f>'Financial Model'!H58</f>
        <v>Office  Supplies</v>
      </c>
      <c r="B63">
        <f>'Financial Model'!I58</f>
        <v>0</v>
      </c>
      <c r="C63">
        <f>'Financial Model'!J58</f>
        <v>0</v>
      </c>
      <c r="D63">
        <f>'Financial Model'!K58</f>
        <v>0</v>
      </c>
      <c r="E63">
        <f>'Financial Model'!L58</f>
        <v>0</v>
      </c>
      <c r="F63">
        <f>'Financial Model'!M58</f>
        <v>250</v>
      </c>
      <c r="G63">
        <f>'Financial Model'!N58</f>
        <v>250</v>
      </c>
      <c r="H63">
        <f>'Financial Model'!O58</f>
        <v>250</v>
      </c>
      <c r="I63">
        <f>'Financial Model'!P58</f>
        <v>250</v>
      </c>
      <c r="J63">
        <f>'Financial Model'!Q58</f>
        <v>250</v>
      </c>
      <c r="K63">
        <f>'Financial Model'!R58</f>
        <v>250</v>
      </c>
      <c r="L63">
        <f>'Financial Model'!S58</f>
        <v>250</v>
      </c>
      <c r="M63">
        <f>'Financial Model'!T58</f>
        <v>250</v>
      </c>
      <c r="N63">
        <f>'Financial Model'!U58</f>
        <v>250</v>
      </c>
      <c r="O63">
        <f>'Financial Model'!V58</f>
        <v>250</v>
      </c>
      <c r="P63">
        <f>'Financial Model'!W58</f>
        <v>250</v>
      </c>
      <c r="Q63">
        <f>'Financial Model'!X58</f>
        <v>250</v>
      </c>
      <c r="R63">
        <f>'Financial Model'!Y58</f>
        <v>250</v>
      </c>
      <c r="S63">
        <f>'Financial Model'!Z58</f>
        <v>250</v>
      </c>
      <c r="T63">
        <f>'Financial Model'!AA58</f>
        <v>250</v>
      </c>
      <c r="U63">
        <f>'Financial Model'!AB58</f>
        <v>250</v>
      </c>
    </row>
    <row r="64" spans="1:21" x14ac:dyDescent="0.2">
      <c r="A64" t="e">
        <f>'Financial Model'!#REF!</f>
        <v>#REF!</v>
      </c>
      <c r="B64" t="e">
        <f>'Financial Model'!#REF!</f>
        <v>#REF!</v>
      </c>
      <c r="C64" t="e">
        <f>'Financial Model'!#REF!</f>
        <v>#REF!</v>
      </c>
      <c r="D64" t="e">
        <f>'Financial Model'!#REF!</f>
        <v>#REF!</v>
      </c>
      <c r="E64" t="e">
        <f>'Financial Model'!#REF!</f>
        <v>#REF!</v>
      </c>
      <c r="F64" t="e">
        <f>'Financial Model'!#REF!</f>
        <v>#REF!</v>
      </c>
      <c r="G64" t="e">
        <f>'Financial Model'!#REF!</f>
        <v>#REF!</v>
      </c>
      <c r="H64" t="e">
        <f>'Financial Model'!#REF!</f>
        <v>#REF!</v>
      </c>
      <c r="I64" t="e">
        <f>'Financial Model'!#REF!</f>
        <v>#REF!</v>
      </c>
      <c r="J64" t="e">
        <f>'Financial Model'!#REF!</f>
        <v>#REF!</v>
      </c>
      <c r="K64" t="e">
        <f>'Financial Model'!#REF!</f>
        <v>#REF!</v>
      </c>
      <c r="L64" t="e">
        <f>'Financial Model'!#REF!</f>
        <v>#REF!</v>
      </c>
      <c r="M64" t="e">
        <f>'Financial Model'!#REF!</f>
        <v>#REF!</v>
      </c>
      <c r="N64" t="e">
        <f>'Financial Model'!#REF!</f>
        <v>#REF!</v>
      </c>
      <c r="O64" t="e">
        <f>'Financial Model'!#REF!</f>
        <v>#REF!</v>
      </c>
      <c r="P64" t="e">
        <f>'Financial Model'!#REF!</f>
        <v>#REF!</v>
      </c>
      <c r="Q64" t="e">
        <f>'Financial Model'!#REF!</f>
        <v>#REF!</v>
      </c>
      <c r="R64" t="e">
        <f>'Financial Model'!#REF!</f>
        <v>#REF!</v>
      </c>
      <c r="S64" t="e">
        <f>'Financial Model'!#REF!</f>
        <v>#REF!</v>
      </c>
      <c r="T64" t="e">
        <f>'Financial Model'!#REF!</f>
        <v>#REF!</v>
      </c>
      <c r="U64" t="e">
        <f>'Financial Model'!#REF!</f>
        <v>#REF!</v>
      </c>
    </row>
    <row r="65" spans="1:21" x14ac:dyDescent="0.2">
      <c r="A65" t="e">
        <f>'Financial Model'!#REF!</f>
        <v>#REF!</v>
      </c>
      <c r="B65" t="e">
        <f>'Financial Model'!#REF!</f>
        <v>#REF!</v>
      </c>
      <c r="C65" t="e">
        <f>'Financial Model'!#REF!</f>
        <v>#REF!</v>
      </c>
      <c r="D65" t="e">
        <f>'Financial Model'!#REF!</f>
        <v>#REF!</v>
      </c>
      <c r="E65" t="e">
        <f>'Financial Model'!#REF!</f>
        <v>#REF!</v>
      </c>
      <c r="F65" t="e">
        <f>'Financial Model'!#REF!</f>
        <v>#REF!</v>
      </c>
      <c r="G65" t="e">
        <f>'Financial Model'!#REF!</f>
        <v>#REF!</v>
      </c>
      <c r="H65" t="e">
        <f>'Financial Model'!#REF!</f>
        <v>#REF!</v>
      </c>
      <c r="I65" t="e">
        <f>'Financial Model'!#REF!</f>
        <v>#REF!</v>
      </c>
      <c r="J65" t="e">
        <f>'Financial Model'!#REF!</f>
        <v>#REF!</v>
      </c>
      <c r="K65" t="e">
        <f>'Financial Model'!#REF!</f>
        <v>#REF!</v>
      </c>
      <c r="L65" t="e">
        <f>'Financial Model'!#REF!</f>
        <v>#REF!</v>
      </c>
      <c r="M65" t="e">
        <f>'Financial Model'!#REF!</f>
        <v>#REF!</v>
      </c>
      <c r="N65" t="e">
        <f>'Financial Model'!#REF!</f>
        <v>#REF!</v>
      </c>
      <c r="O65" t="e">
        <f>'Financial Model'!#REF!</f>
        <v>#REF!</v>
      </c>
      <c r="P65" t="e">
        <f>'Financial Model'!#REF!</f>
        <v>#REF!</v>
      </c>
      <c r="Q65" t="e">
        <f>'Financial Model'!#REF!</f>
        <v>#REF!</v>
      </c>
      <c r="R65" t="e">
        <f>'Financial Model'!#REF!</f>
        <v>#REF!</v>
      </c>
      <c r="S65" t="e">
        <f>'Financial Model'!#REF!</f>
        <v>#REF!</v>
      </c>
      <c r="T65" t="e">
        <f>'Financial Model'!#REF!</f>
        <v>#REF!</v>
      </c>
      <c r="U65" t="e">
        <f>'Financial Model'!#REF!</f>
        <v>#REF!</v>
      </c>
    </row>
    <row r="66" spans="1:21" x14ac:dyDescent="0.2">
      <c r="A66" t="str">
        <f>'Financial Model'!H59</f>
        <v>Rent Expense</v>
      </c>
      <c r="B66">
        <f>'Financial Model'!I59</f>
        <v>0</v>
      </c>
      <c r="C66">
        <f>'Financial Model'!J59</f>
        <v>0</v>
      </c>
      <c r="D66">
        <f>'Financial Model'!K59</f>
        <v>0</v>
      </c>
      <c r="E66">
        <f>'Financial Model'!L59</f>
        <v>0</v>
      </c>
      <c r="F66">
        <f>'Financial Model'!M59</f>
        <v>5000</v>
      </c>
      <c r="G66">
        <f>'Financial Model'!N59</f>
        <v>5000</v>
      </c>
      <c r="H66">
        <f>'Financial Model'!O59</f>
        <v>5000</v>
      </c>
      <c r="I66">
        <f>'Financial Model'!P59</f>
        <v>5000</v>
      </c>
      <c r="J66">
        <f>'Financial Model'!Q59</f>
        <v>5000</v>
      </c>
      <c r="K66">
        <f>'Financial Model'!R59</f>
        <v>5000</v>
      </c>
      <c r="L66">
        <f>'Financial Model'!S59</f>
        <v>5000</v>
      </c>
      <c r="M66">
        <f>'Financial Model'!T59</f>
        <v>5000</v>
      </c>
      <c r="N66">
        <f>'Financial Model'!U59</f>
        <v>5000</v>
      </c>
      <c r="O66">
        <f>'Financial Model'!V59</f>
        <v>5000</v>
      </c>
      <c r="P66">
        <f>'Financial Model'!W59</f>
        <v>5000</v>
      </c>
      <c r="Q66">
        <f>'Financial Model'!X59</f>
        <v>5000</v>
      </c>
      <c r="R66">
        <f>'Financial Model'!Y59</f>
        <v>5000</v>
      </c>
      <c r="S66">
        <f>'Financial Model'!Z59</f>
        <v>5000</v>
      </c>
      <c r="T66">
        <f>'Financial Model'!AA59</f>
        <v>5000</v>
      </c>
      <c r="U66">
        <f>'Financial Model'!AB59</f>
        <v>5000</v>
      </c>
    </row>
    <row r="67" spans="1:21" x14ac:dyDescent="0.2">
      <c r="A67" t="e">
        <f>'Financial Model'!#REF!</f>
        <v>#REF!</v>
      </c>
      <c r="B67" t="e">
        <f>'Financial Model'!#REF!</f>
        <v>#REF!</v>
      </c>
      <c r="C67" t="e">
        <f>'Financial Model'!#REF!</f>
        <v>#REF!</v>
      </c>
      <c r="D67" t="e">
        <f>'Financial Model'!#REF!</f>
        <v>#REF!</v>
      </c>
      <c r="E67" t="e">
        <f>'Financial Model'!#REF!</f>
        <v>#REF!</v>
      </c>
      <c r="F67" t="e">
        <f>'Financial Model'!#REF!</f>
        <v>#REF!</v>
      </c>
      <c r="G67" t="e">
        <f>'Financial Model'!#REF!</f>
        <v>#REF!</v>
      </c>
      <c r="H67" t="e">
        <f>'Financial Model'!#REF!</f>
        <v>#REF!</v>
      </c>
      <c r="I67" t="e">
        <f>'Financial Model'!#REF!</f>
        <v>#REF!</v>
      </c>
      <c r="J67" t="e">
        <f>'Financial Model'!#REF!</f>
        <v>#REF!</v>
      </c>
      <c r="K67" t="e">
        <f>'Financial Model'!#REF!</f>
        <v>#REF!</v>
      </c>
      <c r="L67" t="e">
        <f>'Financial Model'!#REF!</f>
        <v>#REF!</v>
      </c>
      <c r="M67" t="e">
        <f>'Financial Model'!#REF!</f>
        <v>#REF!</v>
      </c>
      <c r="N67" t="e">
        <f>'Financial Model'!#REF!</f>
        <v>#REF!</v>
      </c>
      <c r="O67" t="e">
        <f>'Financial Model'!#REF!</f>
        <v>#REF!</v>
      </c>
      <c r="P67" t="e">
        <f>'Financial Model'!#REF!</f>
        <v>#REF!</v>
      </c>
      <c r="Q67" t="e">
        <f>'Financial Model'!#REF!</f>
        <v>#REF!</v>
      </c>
      <c r="R67" t="e">
        <f>'Financial Model'!#REF!</f>
        <v>#REF!</v>
      </c>
      <c r="S67" t="e">
        <f>'Financial Model'!#REF!</f>
        <v>#REF!</v>
      </c>
      <c r="T67" t="e">
        <f>'Financial Model'!#REF!</f>
        <v>#REF!</v>
      </c>
      <c r="U67" t="e">
        <f>'Financial Model'!#REF!</f>
        <v>#REF!</v>
      </c>
    </row>
    <row r="68" spans="1:21" x14ac:dyDescent="0.2">
      <c r="A68" t="e">
        <f>'Financial Model'!#REF!</f>
        <v>#REF!</v>
      </c>
      <c r="B68" t="e">
        <f>'Financial Model'!#REF!</f>
        <v>#REF!</v>
      </c>
      <c r="C68" t="e">
        <f>'Financial Model'!#REF!</f>
        <v>#REF!</v>
      </c>
      <c r="D68" t="e">
        <f>'Financial Model'!#REF!</f>
        <v>#REF!</v>
      </c>
      <c r="E68" t="e">
        <f>'Financial Model'!#REF!</f>
        <v>#REF!</v>
      </c>
      <c r="F68" t="e">
        <f>'Financial Model'!#REF!</f>
        <v>#REF!</v>
      </c>
      <c r="G68" t="e">
        <f>'Financial Model'!#REF!</f>
        <v>#REF!</v>
      </c>
      <c r="H68" t="e">
        <f>'Financial Model'!#REF!</f>
        <v>#REF!</v>
      </c>
      <c r="I68" t="e">
        <f>'Financial Model'!#REF!</f>
        <v>#REF!</v>
      </c>
      <c r="J68" t="e">
        <f>'Financial Model'!#REF!</f>
        <v>#REF!</v>
      </c>
      <c r="K68" t="e">
        <f>'Financial Model'!#REF!</f>
        <v>#REF!</v>
      </c>
      <c r="L68" t="e">
        <f>'Financial Model'!#REF!</f>
        <v>#REF!</v>
      </c>
      <c r="M68" t="e">
        <f>'Financial Model'!#REF!</f>
        <v>#REF!</v>
      </c>
      <c r="N68" t="e">
        <f>'Financial Model'!#REF!</f>
        <v>#REF!</v>
      </c>
      <c r="O68" t="e">
        <f>'Financial Model'!#REF!</f>
        <v>#REF!</v>
      </c>
      <c r="P68" t="e">
        <f>'Financial Model'!#REF!</f>
        <v>#REF!</v>
      </c>
      <c r="Q68" t="e">
        <f>'Financial Model'!#REF!</f>
        <v>#REF!</v>
      </c>
      <c r="R68" t="e">
        <f>'Financial Model'!#REF!</f>
        <v>#REF!</v>
      </c>
      <c r="S68" t="e">
        <f>'Financial Model'!#REF!</f>
        <v>#REF!</v>
      </c>
      <c r="T68" t="e">
        <f>'Financial Model'!#REF!</f>
        <v>#REF!</v>
      </c>
      <c r="U68" t="e">
        <f>'Financial Model'!#REF!</f>
        <v>#REF!</v>
      </c>
    </row>
    <row r="69" spans="1:21" x14ac:dyDescent="0.2">
      <c r="A69">
        <f>'Financial Model'!H60</f>
        <v>0</v>
      </c>
      <c r="B69">
        <f>'Financial Model'!I60</f>
        <v>0</v>
      </c>
      <c r="C69">
        <f>'Financial Model'!J60</f>
        <v>0</v>
      </c>
      <c r="D69">
        <f>'Financial Model'!K60</f>
        <v>0</v>
      </c>
      <c r="E69">
        <f>'Financial Model'!L60</f>
        <v>0</v>
      </c>
      <c r="F69">
        <f>'Financial Model'!M60</f>
        <v>0</v>
      </c>
      <c r="G69">
        <f>'Financial Model'!N60</f>
        <v>0</v>
      </c>
      <c r="H69">
        <f>'Financial Model'!O60</f>
        <v>0</v>
      </c>
      <c r="I69">
        <f>'Financial Model'!P60</f>
        <v>0</v>
      </c>
      <c r="J69">
        <f>'Financial Model'!Q60</f>
        <v>0</v>
      </c>
      <c r="K69">
        <f>'Financial Model'!R60</f>
        <v>0</v>
      </c>
      <c r="L69">
        <f>'Financial Model'!S60</f>
        <v>0</v>
      </c>
      <c r="M69">
        <f>'Financial Model'!T60</f>
        <v>0</v>
      </c>
      <c r="N69">
        <f>'Financial Model'!U60</f>
        <v>0</v>
      </c>
      <c r="O69">
        <f>'Financial Model'!V60</f>
        <v>0</v>
      </c>
      <c r="P69">
        <f>'Financial Model'!W60</f>
        <v>0</v>
      </c>
      <c r="Q69">
        <f>'Financial Model'!X60</f>
        <v>0</v>
      </c>
      <c r="R69">
        <f>'Financial Model'!Y60</f>
        <v>0</v>
      </c>
      <c r="S69">
        <f>'Financial Model'!Z60</f>
        <v>0</v>
      </c>
      <c r="T69">
        <f>'Financial Model'!AA60</f>
        <v>0</v>
      </c>
      <c r="U69">
        <f>'Financial Model'!AB60</f>
        <v>0</v>
      </c>
    </row>
    <row r="70" spans="1:21" x14ac:dyDescent="0.2">
      <c r="A70" t="str">
        <f>'Financial Model'!H61</f>
        <v>Total Operating Costs</v>
      </c>
      <c r="B70">
        <f>'Financial Model'!I61</f>
        <v>-107642.66659090914</v>
      </c>
      <c r="C70">
        <f>'Financial Model'!J61</f>
        <v>-138676.38657954551</v>
      </c>
      <c r="D70">
        <f>'Financial Model'!K61</f>
        <v>-149936.26973409095</v>
      </c>
      <c r="E70">
        <f>'Financial Model'!L61</f>
        <v>-150636.29864200289</v>
      </c>
      <c r="F70">
        <f>'Financial Model'!M61</f>
        <v>-155566.79717641589</v>
      </c>
      <c r="G70">
        <f>'Financial Model'!N61</f>
        <v>-230322.45978102554</v>
      </c>
      <c r="H70">
        <f>'Financial Model'!O61</f>
        <v>-273681.66015786317</v>
      </c>
      <c r="I70">
        <f>'Financial Model'!P61</f>
        <v>-330458.74535677023</v>
      </c>
      <c r="J70">
        <f>'Financial Model'!Q61</f>
        <v>-334702.61713134183</v>
      </c>
      <c r="K70">
        <f>'Financial Model'!R61</f>
        <v>-363229.64551074762</v>
      </c>
      <c r="L70">
        <f>'Financial Model'!S61</f>
        <v>-373119.74385994521</v>
      </c>
      <c r="M70">
        <f>'Financial Model'!T61</f>
        <v>-412705.92701852426</v>
      </c>
      <c r="N70">
        <f>'Financial Model'!U61</f>
        <v>-414321.49483593885</v>
      </c>
      <c r="O70">
        <f>'Financial Model'!V61</f>
        <v>-440225.55201084877</v>
      </c>
      <c r="P70">
        <f>'Financial Model'!W61</f>
        <v>-452487.07352254936</v>
      </c>
      <c r="Q70">
        <f>'Financial Model'!X61</f>
        <v>-490821.84937054681</v>
      </c>
      <c r="R70">
        <f>'Financial Model'!Y61</f>
        <v>-506624.23026010743</v>
      </c>
      <c r="S70">
        <f>'Financial Model'!Z61</f>
        <v>-548385.27022666356</v>
      </c>
      <c r="T70">
        <f>'Financial Model'!AA61</f>
        <v>-580087.62128035421</v>
      </c>
      <c r="U70">
        <f>'Financial Model'!AB61</f>
        <v>-639284.01336155273</v>
      </c>
    </row>
    <row r="71" spans="1:21" x14ac:dyDescent="0.2">
      <c r="A71" t="e">
        <f>'Financial Model'!#REF!</f>
        <v>#REF!</v>
      </c>
      <c r="B71">
        <f>'Financial Model'!I72</f>
        <v>1</v>
      </c>
      <c r="C71">
        <f>'Financial Model'!J72</f>
        <v>1</v>
      </c>
      <c r="D71">
        <f>'Financial Model'!K72</f>
        <v>1</v>
      </c>
      <c r="E71">
        <f>'Financial Model'!L72</f>
        <v>1</v>
      </c>
      <c r="F71">
        <f>'Financial Model'!M72</f>
        <v>1</v>
      </c>
      <c r="G71">
        <f>'Financial Model'!N72</f>
        <v>1</v>
      </c>
      <c r="H71">
        <f>'Financial Model'!O72</f>
        <v>1</v>
      </c>
      <c r="I71">
        <f>'Financial Model'!P72</f>
        <v>1</v>
      </c>
      <c r="J71">
        <f>'Financial Model'!Q72</f>
        <v>1</v>
      </c>
      <c r="K71">
        <f>'Financial Model'!R72</f>
        <v>1</v>
      </c>
      <c r="L71">
        <f>'Financial Model'!S72</f>
        <v>1</v>
      </c>
      <c r="M71">
        <f>'Financial Model'!T72</f>
        <v>1</v>
      </c>
      <c r="N71">
        <f>'Financial Model'!U72</f>
        <v>1</v>
      </c>
      <c r="O71">
        <f>'Financial Model'!V72</f>
        <v>1</v>
      </c>
      <c r="P71">
        <f>'Financial Model'!W72</f>
        <v>1</v>
      </c>
      <c r="Q71">
        <f>'Financial Model'!X72</f>
        <v>1</v>
      </c>
      <c r="R71">
        <f>'Financial Model'!Y72</f>
        <v>1</v>
      </c>
      <c r="S71">
        <f>'Financial Model'!Z72</f>
        <v>1</v>
      </c>
      <c r="T71">
        <f>'Financial Model'!AA72</f>
        <v>1</v>
      </c>
      <c r="U71">
        <f>'Financial Model'!AB72</f>
        <v>1</v>
      </c>
    </row>
    <row r="72" spans="1:21" x14ac:dyDescent="0.2">
      <c r="A72" t="e">
        <f>'Financial Model'!#REF!</f>
        <v>#REF!</v>
      </c>
      <c r="B72">
        <f>'Financial Model'!I73</f>
        <v>1.25</v>
      </c>
      <c r="C72">
        <f>'Financial Model'!J73</f>
        <v>1.05</v>
      </c>
      <c r="D72">
        <f>'Financial Model'!K73</f>
        <v>1.05</v>
      </c>
      <c r="E72">
        <f>'Financial Model'!L73</f>
        <v>1.05</v>
      </c>
      <c r="F72">
        <f>'Financial Model'!M73</f>
        <v>1.1000000000000001</v>
      </c>
      <c r="G72">
        <f>'Financial Model'!N73</f>
        <v>1.1000000000000001</v>
      </c>
      <c r="H72">
        <f>'Financial Model'!O73</f>
        <v>1.1000000000000001</v>
      </c>
      <c r="I72">
        <f>'Financial Model'!P73</f>
        <v>1.1000000000000001</v>
      </c>
      <c r="J72">
        <f>'Financial Model'!Q73</f>
        <v>1.05</v>
      </c>
      <c r="K72">
        <f>'Financial Model'!R73</f>
        <v>1.05</v>
      </c>
      <c r="L72">
        <f>'Financial Model'!S73</f>
        <v>1.05</v>
      </c>
      <c r="M72">
        <f>'Financial Model'!T73</f>
        <v>1.05</v>
      </c>
      <c r="N72">
        <f>'Financial Model'!U73</f>
        <v>1</v>
      </c>
      <c r="O72">
        <f>'Financial Model'!V73</f>
        <v>1</v>
      </c>
      <c r="P72">
        <f>'Financial Model'!W73</f>
        <v>1.0249999999999999</v>
      </c>
      <c r="Q72">
        <f>'Financial Model'!X73</f>
        <v>1.0249999999999999</v>
      </c>
      <c r="R72">
        <f>'Financial Model'!Y73</f>
        <v>1.0249999999999999</v>
      </c>
      <c r="S72">
        <f>'Financial Model'!Z73</f>
        <v>1.0249999999999999</v>
      </c>
      <c r="T72">
        <f>'Financial Model'!AA73</f>
        <v>1.0249999999999999</v>
      </c>
      <c r="U72">
        <f>'Financial Model'!AB73</f>
        <v>1.0249999999999999</v>
      </c>
    </row>
    <row r="73" spans="1:21" x14ac:dyDescent="0.2">
      <c r="A73" t="e">
        <f>'Financial Model'!#REF!</f>
        <v>#REF!</v>
      </c>
      <c r="B73">
        <f>'Financial Model'!I74</f>
        <v>1</v>
      </c>
      <c r="C73">
        <f>'Financial Model'!J74</f>
        <v>1.0249999999999999</v>
      </c>
      <c r="D73">
        <f>'Financial Model'!K74</f>
        <v>1.0249999999999999</v>
      </c>
      <c r="E73">
        <f>'Financial Model'!L74</f>
        <v>1.0249999999999999</v>
      </c>
      <c r="F73">
        <f>'Financial Model'!M74</f>
        <v>1.0249999999999999</v>
      </c>
      <c r="G73">
        <f>'Financial Model'!N74</f>
        <v>1.0249999999999999</v>
      </c>
      <c r="H73">
        <f>'Financial Model'!O74</f>
        <v>1.0249999999999999</v>
      </c>
      <c r="I73">
        <f>'Financial Model'!P74</f>
        <v>1.0249999999999999</v>
      </c>
      <c r="J73">
        <f>'Financial Model'!Q74</f>
        <v>1.0249999999999999</v>
      </c>
      <c r="K73">
        <f>'Financial Model'!R74</f>
        <v>1.0249999999999999</v>
      </c>
      <c r="L73">
        <f>'Financial Model'!S74</f>
        <v>1.0249999999999999</v>
      </c>
      <c r="M73">
        <f>'Financial Model'!T74</f>
        <v>1.0249999999999999</v>
      </c>
      <c r="N73">
        <f>'Financial Model'!U74</f>
        <v>1.0249999999999999</v>
      </c>
      <c r="O73">
        <f>'Financial Model'!V74</f>
        <v>1.0249999999999999</v>
      </c>
      <c r="P73">
        <f>'Financial Model'!W74</f>
        <v>1.0249999999999999</v>
      </c>
      <c r="Q73">
        <f>'Financial Model'!X74</f>
        <v>1.0249999999999999</v>
      </c>
      <c r="R73">
        <f>'Financial Model'!Y74</f>
        <v>1.0249999999999999</v>
      </c>
      <c r="S73">
        <f>'Financial Model'!Z74</f>
        <v>1.0249999999999999</v>
      </c>
      <c r="T73">
        <f>'Financial Model'!AA74</f>
        <v>1.0249999999999999</v>
      </c>
      <c r="U73">
        <f>'Financial Model'!AB74</f>
        <v>1.0249999999999999</v>
      </c>
    </row>
    <row r="74" spans="1:21" x14ac:dyDescent="0.2">
      <c r="A74" t="str">
        <f>'Financial Model'!H72</f>
        <v>Bank Service  Charges</v>
      </c>
      <c r="B74">
        <f>'Financial Model'!I82</f>
        <v>0</v>
      </c>
      <c r="C74">
        <f>'Financial Model'!J82</f>
        <v>0</v>
      </c>
      <c r="D74">
        <f>'Financial Model'!K82</f>
        <v>0</v>
      </c>
      <c r="E74">
        <f>'Financial Model'!L82</f>
        <v>0</v>
      </c>
      <c r="F74">
        <f>'Financial Model'!M82</f>
        <v>0</v>
      </c>
      <c r="G74">
        <f>'Financial Model'!N82</f>
        <v>3</v>
      </c>
      <c r="H74">
        <f>'Financial Model'!O82</f>
        <v>-13303.198439592848</v>
      </c>
      <c r="I74">
        <f>'Financial Model'!P82</f>
        <v>-14142.069083552135</v>
      </c>
      <c r="J74">
        <f>'Financial Model'!Q82</f>
        <v>-14744.56397772974</v>
      </c>
      <c r="K74">
        <f>'Financial Model'!R82</f>
        <v>-15572.57505661623</v>
      </c>
      <c r="L74">
        <f>'Financial Model'!S82</f>
        <v>-15572.57505661623</v>
      </c>
      <c r="M74">
        <f>'Financial Model'!T82</f>
        <v>-15572.57505661623</v>
      </c>
      <c r="N74">
        <f>'Financial Model'!U82</f>
        <v>-15572.57505661623</v>
      </c>
      <c r="O74">
        <f>'Financial Model'!V82</f>
        <v>-15572.57505661623</v>
      </c>
      <c r="P74">
        <f>'Financial Model'!W82</f>
        <v>-15572.57505661623</v>
      </c>
      <c r="Q74">
        <f>'Financial Model'!X82</f>
        <v>-15572.57505661623</v>
      </c>
      <c r="R74">
        <f>'Financial Model'!Y82</f>
        <v>-15572.57505661623</v>
      </c>
      <c r="S74">
        <f>'Financial Model'!Z82</f>
        <v>-15572.57505661623</v>
      </c>
      <c r="T74">
        <f>'Financial Model'!AA82</f>
        <v>-15572.57505661623</v>
      </c>
      <c r="U74">
        <f>'Financial Model'!AB82</f>
        <v>-15572.57505661623</v>
      </c>
    </row>
    <row r="75" spans="1:21" x14ac:dyDescent="0.2">
      <c r="A75" t="str">
        <f>'Financial Model'!H73</f>
        <v xml:space="preserve">   Total Contract labor</v>
      </c>
      <c r="B75">
        <f>'Financial Model'!I83</f>
        <v>0</v>
      </c>
      <c r="C75">
        <f>'Financial Model'!J83</f>
        <v>0</v>
      </c>
      <c r="D75">
        <f>'Financial Model'!K83</f>
        <v>0</v>
      </c>
      <c r="E75">
        <f>'Financial Model'!L83</f>
        <v>0</v>
      </c>
      <c r="F75">
        <f>'Financial Model'!M83</f>
        <v>0</v>
      </c>
      <c r="G75">
        <f>'Financial Model'!N83</f>
        <v>0</v>
      </c>
      <c r="H75">
        <f>'Financial Model'!O83</f>
        <v>0</v>
      </c>
      <c r="I75">
        <f>'Financial Model'!P83</f>
        <v>0</v>
      </c>
      <c r="J75">
        <f>'Financial Model'!Q83</f>
        <v>0</v>
      </c>
      <c r="K75">
        <f>'Financial Model'!R83</f>
        <v>0</v>
      </c>
      <c r="L75">
        <f>'Financial Model'!S83</f>
        <v>0</v>
      </c>
      <c r="M75">
        <f>'Financial Model'!T83</f>
        <v>0</v>
      </c>
      <c r="N75">
        <f>'Financial Model'!U83</f>
        <v>0</v>
      </c>
      <c r="O75">
        <f>'Financial Model'!V83</f>
        <v>0</v>
      </c>
      <c r="P75">
        <f>'Financial Model'!W83</f>
        <v>0</v>
      </c>
      <c r="Q75">
        <f>'Financial Model'!X83</f>
        <v>0</v>
      </c>
      <c r="R75">
        <f>'Financial Model'!Y83</f>
        <v>0</v>
      </c>
      <c r="S75">
        <f>'Financial Model'!Z83</f>
        <v>0</v>
      </c>
      <c r="T75">
        <f>'Financial Model'!AA83</f>
        <v>0</v>
      </c>
      <c r="U75">
        <f>'Financial Model'!AB83</f>
        <v>0</v>
      </c>
    </row>
    <row r="76" spans="1:21" x14ac:dyDescent="0.2">
      <c r="A76" t="str">
        <f>'Financial Model'!H74</f>
        <v>Lincense  and Subscription Fees</v>
      </c>
      <c r="B76">
        <f>'Financial Model'!I84</f>
        <v>1</v>
      </c>
      <c r="C76">
        <f>'Financial Model'!J84</f>
        <v>1</v>
      </c>
      <c r="D76">
        <f>'Financial Model'!K84</f>
        <v>1</v>
      </c>
      <c r="E76">
        <f>'Financial Model'!L84</f>
        <v>1</v>
      </c>
      <c r="F76">
        <f>'Financial Model'!M84</f>
        <v>1</v>
      </c>
      <c r="G76">
        <f>'Financial Model'!N84</f>
        <v>1</v>
      </c>
      <c r="H76">
        <f>'Financial Model'!O84</f>
        <v>1</v>
      </c>
      <c r="I76">
        <f>'Financial Model'!P84</f>
        <v>1</v>
      </c>
      <c r="J76">
        <f>'Financial Model'!Q84</f>
        <v>1</v>
      </c>
      <c r="K76">
        <f>'Financial Model'!R84</f>
        <v>1</v>
      </c>
      <c r="L76">
        <f>'Financial Model'!S84</f>
        <v>1</v>
      </c>
      <c r="M76">
        <f>'Financial Model'!T84</f>
        <v>1</v>
      </c>
      <c r="N76">
        <f>'Financial Model'!U84</f>
        <v>1</v>
      </c>
      <c r="O76">
        <f>'Financial Model'!V84</f>
        <v>1</v>
      </c>
      <c r="P76">
        <f>'Financial Model'!W84</f>
        <v>1</v>
      </c>
      <c r="Q76">
        <f>'Financial Model'!X84</f>
        <v>1</v>
      </c>
      <c r="R76">
        <f>'Financial Model'!Y84</f>
        <v>1</v>
      </c>
      <c r="S76">
        <f>'Financial Model'!Z84</f>
        <v>1</v>
      </c>
      <c r="T76">
        <f>'Financial Model'!AA84</f>
        <v>1</v>
      </c>
      <c r="U76">
        <f>'Financial Model'!AB84</f>
        <v>1</v>
      </c>
    </row>
    <row r="77" spans="1:21" x14ac:dyDescent="0.2">
      <c r="A77" t="str">
        <f>'Financial Model'!H82</f>
        <v>Health Insurance Expense</v>
      </c>
      <c r="B77">
        <f>'Financial Model'!I85</f>
        <v>2</v>
      </c>
      <c r="C77">
        <f>'Financial Model'!J85</f>
        <v>1.05</v>
      </c>
      <c r="D77">
        <f>'Financial Model'!K85</f>
        <v>1.1000000000000001</v>
      </c>
      <c r="E77">
        <f>'Financial Model'!L85</f>
        <v>1.1000000000000001</v>
      </c>
      <c r="F77">
        <f>'Financial Model'!M85</f>
        <v>1.1000000000000001</v>
      </c>
      <c r="G77">
        <f>'Financial Model'!N85</f>
        <v>1.1000000000000001</v>
      </c>
      <c r="H77">
        <f>'Financial Model'!O85</f>
        <v>1.1000000000000001</v>
      </c>
      <c r="I77">
        <f>'Financial Model'!P85</f>
        <v>1.1000000000000001</v>
      </c>
      <c r="J77">
        <f>'Financial Model'!Q85</f>
        <v>1.1000000000000001</v>
      </c>
      <c r="K77">
        <f>'Financial Model'!R85</f>
        <v>1.1000000000000001</v>
      </c>
      <c r="L77">
        <f>'Financial Model'!S85</f>
        <v>1.1000000000000001</v>
      </c>
      <c r="M77">
        <f>'Financial Model'!T85</f>
        <v>1.1000000000000001</v>
      </c>
      <c r="N77">
        <f>'Financial Model'!U85</f>
        <v>1.0249999999999999</v>
      </c>
      <c r="O77">
        <f>'Financial Model'!V85</f>
        <v>1.0249999999999999</v>
      </c>
      <c r="P77">
        <f>'Financial Model'!W85</f>
        <v>1.0249999999999999</v>
      </c>
      <c r="Q77">
        <f>'Financial Model'!X85</f>
        <v>1.0249999999999999</v>
      </c>
      <c r="R77">
        <f>'Financial Model'!Y85</f>
        <v>1.0249999999999999</v>
      </c>
      <c r="S77">
        <f>'Financial Model'!Z85</f>
        <v>1.0249999999999999</v>
      </c>
      <c r="T77">
        <f>'Financial Model'!AA85</f>
        <v>1.0249999999999999</v>
      </c>
      <c r="U77">
        <f>'Financial Model'!AB85</f>
        <v>1.0249999999999999</v>
      </c>
    </row>
    <row r="78" spans="1:21" x14ac:dyDescent="0.2">
      <c r="A78" t="str">
        <f>'Financial Model'!H83</f>
        <v>Work Comp and Liability Insurance</v>
      </c>
      <c r="B78">
        <f>'Financial Model'!I86</f>
        <v>0</v>
      </c>
      <c r="C78">
        <f>'Financial Model'!J86</f>
        <v>0</v>
      </c>
      <c r="D78">
        <f>'Financial Model'!K86</f>
        <v>0</v>
      </c>
      <c r="E78">
        <f>'Financial Model'!L86</f>
        <v>0</v>
      </c>
      <c r="F78">
        <f>'Financial Model'!M86</f>
        <v>0</v>
      </c>
      <c r="G78">
        <f>'Financial Model'!N86</f>
        <v>0</v>
      </c>
      <c r="H78">
        <f>'Financial Model'!O86</f>
        <v>0</v>
      </c>
      <c r="I78">
        <f>'Financial Model'!P86</f>
        <v>0</v>
      </c>
      <c r="J78">
        <f>'Financial Model'!Q86</f>
        <v>0</v>
      </c>
      <c r="K78">
        <f>'Financial Model'!R86</f>
        <v>0</v>
      </c>
      <c r="L78">
        <f>'Financial Model'!S86</f>
        <v>0</v>
      </c>
      <c r="M78">
        <f>'Financial Model'!T86</f>
        <v>0</v>
      </c>
      <c r="N78">
        <f>'Financial Model'!U86</f>
        <v>0</v>
      </c>
      <c r="O78">
        <f>'Financial Model'!V86</f>
        <v>0</v>
      </c>
      <c r="P78">
        <f>'Financial Model'!W86</f>
        <v>0</v>
      </c>
      <c r="Q78">
        <f>'Financial Model'!X86</f>
        <v>0</v>
      </c>
      <c r="R78">
        <f>'Financial Model'!Y86</f>
        <v>0</v>
      </c>
      <c r="S78">
        <f>'Financial Model'!Z86</f>
        <v>0</v>
      </c>
      <c r="T78">
        <f>'Financial Model'!AA86</f>
        <v>0</v>
      </c>
      <c r="U78">
        <f>'Financial Model'!AB86</f>
        <v>0</v>
      </c>
    </row>
    <row r="79" spans="1:21" x14ac:dyDescent="0.2">
      <c r="B79">
        <f>'Financial Model'!I87</f>
        <v>0</v>
      </c>
      <c r="C79">
        <f>'Financial Model'!J87</f>
        <v>0</v>
      </c>
      <c r="D79">
        <f>'Financial Model'!K87</f>
        <v>0</v>
      </c>
      <c r="E79">
        <f>'Financial Model'!L87</f>
        <v>0</v>
      </c>
      <c r="F79">
        <f>'Financial Model'!M87</f>
        <v>0</v>
      </c>
      <c r="G79">
        <f>'Financial Model'!N87</f>
        <v>0</v>
      </c>
      <c r="H79">
        <f>'Financial Model'!O87</f>
        <v>0</v>
      </c>
      <c r="I79">
        <f>'Financial Model'!P87</f>
        <v>0</v>
      </c>
      <c r="J79">
        <f>'Financial Model'!Q87</f>
        <v>0</v>
      </c>
      <c r="K79">
        <f>'Financial Model'!R87</f>
        <v>0</v>
      </c>
      <c r="L79">
        <f>'Financial Model'!S87</f>
        <v>0</v>
      </c>
      <c r="M79">
        <f>'Financial Model'!T87</f>
        <v>0</v>
      </c>
      <c r="N79">
        <f>'Financial Model'!U87</f>
        <v>0</v>
      </c>
      <c r="O79">
        <f>'Financial Model'!V87</f>
        <v>0</v>
      </c>
      <c r="P79">
        <f>'Financial Model'!W87</f>
        <v>0</v>
      </c>
      <c r="Q79">
        <f>'Financial Model'!X87</f>
        <v>0</v>
      </c>
      <c r="R79">
        <f>'Financial Model'!Y87</f>
        <v>0</v>
      </c>
      <c r="S79">
        <f>'Financial Model'!Z87</f>
        <v>0</v>
      </c>
      <c r="T79">
        <f>'Financial Model'!AA87</f>
        <v>0</v>
      </c>
      <c r="U79">
        <f>'Financial Model'!AB87</f>
        <v>0</v>
      </c>
    </row>
    <row r="80" spans="1:21" x14ac:dyDescent="0.2">
      <c r="B80">
        <f>'Financial Model'!I88</f>
        <v>0</v>
      </c>
      <c r="C80">
        <f>'Financial Model'!J88</f>
        <v>0</v>
      </c>
      <c r="D80">
        <f>'Financial Model'!K88</f>
        <v>0</v>
      </c>
      <c r="E80">
        <f>'Financial Model'!L88</f>
        <v>0</v>
      </c>
      <c r="F80">
        <f>'Financial Model'!M88</f>
        <v>250</v>
      </c>
      <c r="G80">
        <f>'Financial Model'!N88</f>
        <v>1</v>
      </c>
      <c r="H80">
        <f>'Financial Model'!O88</f>
        <v>1</v>
      </c>
      <c r="I80">
        <f>'Financial Model'!P88</f>
        <v>1</v>
      </c>
      <c r="J80">
        <f>'Financial Model'!Q88</f>
        <v>1</v>
      </c>
      <c r="K80">
        <f>'Financial Model'!R88</f>
        <v>1</v>
      </c>
      <c r="L80">
        <f>'Financial Model'!S88</f>
        <v>1</v>
      </c>
      <c r="M80">
        <f>'Financial Model'!T88</f>
        <v>1</v>
      </c>
      <c r="N80">
        <f>'Financial Model'!U88</f>
        <v>1</v>
      </c>
      <c r="O80">
        <f>'Financial Model'!V88</f>
        <v>1</v>
      </c>
      <c r="P80">
        <f>'Financial Model'!W88</f>
        <v>1</v>
      </c>
      <c r="Q80">
        <f>'Financial Model'!X88</f>
        <v>1</v>
      </c>
      <c r="R80">
        <f>'Financial Model'!Y88</f>
        <v>1</v>
      </c>
      <c r="S80">
        <f>'Financial Model'!Z88</f>
        <v>1</v>
      </c>
      <c r="T80">
        <f>'Financial Model'!AA88</f>
        <v>1</v>
      </c>
      <c r="U80">
        <f>'Financial Model'!AB88</f>
        <v>1</v>
      </c>
    </row>
    <row r="81" spans="2:21" x14ac:dyDescent="0.2">
      <c r="B81">
        <f>'Financial Model'!I89</f>
        <v>0</v>
      </c>
      <c r="C81">
        <f>'Financial Model'!J89</f>
        <v>0</v>
      </c>
      <c r="D81">
        <f>'Financial Model'!K89</f>
        <v>0</v>
      </c>
      <c r="E81">
        <f>'Financial Model'!L89</f>
        <v>0</v>
      </c>
      <c r="F81">
        <f>'Financial Model'!M89</f>
        <v>5000</v>
      </c>
      <c r="G81">
        <f>'Financial Model'!N89</f>
        <v>1</v>
      </c>
      <c r="H81">
        <f>'Financial Model'!O89</f>
        <v>1</v>
      </c>
      <c r="I81">
        <f>'Financial Model'!P89</f>
        <v>1</v>
      </c>
      <c r="J81">
        <f>'Financial Model'!Q89</f>
        <v>1</v>
      </c>
      <c r="K81">
        <f>'Financial Model'!R89</f>
        <v>1</v>
      </c>
      <c r="L81">
        <f>'Financial Model'!S89</f>
        <v>1</v>
      </c>
      <c r="M81">
        <f>'Financial Model'!T89</f>
        <v>1</v>
      </c>
      <c r="N81">
        <f>'Financial Model'!U89</f>
        <v>1</v>
      </c>
      <c r="O81">
        <f>'Financial Model'!V89</f>
        <v>1</v>
      </c>
      <c r="P81">
        <f>'Financial Model'!W89</f>
        <v>1</v>
      </c>
      <c r="Q81">
        <f>'Financial Model'!X89</f>
        <v>1</v>
      </c>
      <c r="R81">
        <f>'Financial Model'!Y89</f>
        <v>1</v>
      </c>
      <c r="S81">
        <f>'Financial Model'!Z89</f>
        <v>1</v>
      </c>
      <c r="T81">
        <f>'Financial Model'!AA89</f>
        <v>1</v>
      </c>
      <c r="U81">
        <f>'Financial Model'!AB89</f>
        <v>1</v>
      </c>
    </row>
    <row r="82" spans="2:21" x14ac:dyDescent="0.2">
      <c r="B82">
        <f>'Financial Model'!I90</f>
        <v>0</v>
      </c>
      <c r="C82">
        <f>'Financial Model'!J90</f>
        <v>0</v>
      </c>
      <c r="D82">
        <f>'Financial Model'!K90</f>
        <v>0</v>
      </c>
      <c r="E82">
        <f>'Financial Model'!L90</f>
        <v>0</v>
      </c>
      <c r="F82">
        <f>'Financial Model'!M90</f>
        <v>0</v>
      </c>
      <c r="G82">
        <f>'Financial Model'!N90</f>
        <v>0</v>
      </c>
      <c r="H82">
        <f>'Financial Model'!O90</f>
        <v>0</v>
      </c>
      <c r="I82">
        <f>'Financial Model'!P90</f>
        <v>0</v>
      </c>
      <c r="J82">
        <f>'Financial Model'!Q90</f>
        <v>0</v>
      </c>
      <c r="K82">
        <f>'Financial Model'!R90</f>
        <v>0</v>
      </c>
      <c r="L82">
        <f>'Financial Model'!S90</f>
        <v>0</v>
      </c>
      <c r="M82">
        <f>'Financial Model'!T90</f>
        <v>0</v>
      </c>
      <c r="N82">
        <f>'Financial Model'!U90</f>
        <v>0</v>
      </c>
      <c r="O82">
        <f>'Financial Model'!V90</f>
        <v>0</v>
      </c>
      <c r="P82">
        <f>'Financial Model'!W90</f>
        <v>0</v>
      </c>
      <c r="Q82">
        <f>'Financial Model'!X90</f>
        <v>0</v>
      </c>
      <c r="R82">
        <f>'Financial Model'!Y90</f>
        <v>0</v>
      </c>
      <c r="S82">
        <f>'Financial Model'!Z90</f>
        <v>0</v>
      </c>
      <c r="T82">
        <f>'Financial Model'!AA90</f>
        <v>0</v>
      </c>
      <c r="U82">
        <f>'Financial Model'!AB90</f>
        <v>0</v>
      </c>
    </row>
    <row r="83" spans="2:21" x14ac:dyDescent="0.2">
      <c r="B83">
        <f>'Financial Model'!I91</f>
        <v>0</v>
      </c>
      <c r="C83">
        <f>'Financial Model'!J91</f>
        <v>0</v>
      </c>
      <c r="D83">
        <f>'Financial Model'!K91</f>
        <v>0</v>
      </c>
      <c r="E83">
        <f>'Financial Model'!L91</f>
        <v>-60000</v>
      </c>
      <c r="F83">
        <f>'Financial Model'!M91</f>
        <v>-60000</v>
      </c>
      <c r="G83">
        <f>'Financial Model'!N91</f>
        <v>-115000</v>
      </c>
      <c r="H83">
        <f>'Financial Model'!O91</f>
        <v>-150000</v>
      </c>
      <c r="I83">
        <f>'Financial Model'!P91</f>
        <v>-200000</v>
      </c>
      <c r="J83">
        <f>'Financial Model'!Q91</f>
        <v>-200000</v>
      </c>
      <c r="K83">
        <f>'Financial Model'!R91</f>
        <v>-200000</v>
      </c>
      <c r="L83">
        <f>'Financial Model'!S91</f>
        <v>-200000</v>
      </c>
      <c r="M83">
        <f>'Financial Model'!T91</f>
        <v>-200000</v>
      </c>
      <c r="N83">
        <f>'Financial Model'!U91</f>
        <v>-200000</v>
      </c>
      <c r="O83">
        <f>'Financial Model'!V91</f>
        <v>-200000</v>
      </c>
      <c r="P83">
        <f>'Financial Model'!W91</f>
        <v>-200000</v>
      </c>
      <c r="Q83">
        <f>'Financial Model'!X91</f>
        <v>-200000</v>
      </c>
      <c r="R83">
        <f>'Financial Model'!Y91</f>
        <v>-200000</v>
      </c>
      <c r="S83">
        <f>'Financial Model'!Z91</f>
        <v>0</v>
      </c>
      <c r="T83">
        <f>'Financial Model'!AA91</f>
        <v>0</v>
      </c>
      <c r="U83">
        <f>'Financial Model'!AB91</f>
        <v>0</v>
      </c>
    </row>
    <row r="84" spans="2:21" x14ac:dyDescent="0.2">
      <c r="B84">
        <f>'Financial Model'!I92</f>
        <v>0</v>
      </c>
      <c r="C84">
        <f>'Financial Model'!J92</f>
        <v>0</v>
      </c>
      <c r="D84">
        <f>'Financial Model'!K92</f>
        <v>0</v>
      </c>
      <c r="E84">
        <f>'Financial Model'!L92</f>
        <v>0</v>
      </c>
      <c r="F84">
        <f>'Financial Model'!M92</f>
        <v>0</v>
      </c>
      <c r="G84">
        <f>'Financial Model'!N92</f>
        <v>0</v>
      </c>
      <c r="H84">
        <f>'Financial Model'!O92</f>
        <v>0</v>
      </c>
      <c r="I84">
        <f>'Financial Model'!P92</f>
        <v>0</v>
      </c>
      <c r="J84">
        <f>'Financial Model'!Q92</f>
        <v>0</v>
      </c>
      <c r="K84">
        <f>'Financial Model'!R92</f>
        <v>0</v>
      </c>
      <c r="L84">
        <f>'Financial Model'!S92</f>
        <v>0</v>
      </c>
      <c r="M84">
        <f>'Financial Model'!T92</f>
        <v>0</v>
      </c>
      <c r="N84">
        <f>'Financial Model'!U92</f>
        <v>0</v>
      </c>
      <c r="O84">
        <f>'Financial Model'!V92</f>
        <v>0</v>
      </c>
      <c r="P84">
        <f>'Financial Model'!W92</f>
        <v>0</v>
      </c>
      <c r="Q84">
        <f>'Financial Model'!X92</f>
        <v>0</v>
      </c>
      <c r="R84">
        <f>'Financial Model'!Y92</f>
        <v>0</v>
      </c>
      <c r="S84">
        <f>'Financial Model'!Z92</f>
        <v>0</v>
      </c>
      <c r="T84">
        <f>'Financial Model'!AA92</f>
        <v>0</v>
      </c>
      <c r="U84">
        <f>'Financial Model'!AB92</f>
        <v>0</v>
      </c>
    </row>
    <row r="85" spans="2:21" x14ac:dyDescent="0.2">
      <c r="B85">
        <f>'Financial Model'!I93</f>
        <v>0</v>
      </c>
      <c r="C85">
        <f>'Financial Model'!J93</f>
        <v>0</v>
      </c>
      <c r="D85">
        <f>'Financial Model'!K93</f>
        <v>0</v>
      </c>
      <c r="E85">
        <f>'Financial Model'!L93</f>
        <v>-90636.29864200289</v>
      </c>
      <c r="F85">
        <f>'Financial Model'!M93</f>
        <v>-95566.797176415886</v>
      </c>
      <c r="G85">
        <f>'Financial Model'!N93</f>
        <v>-115322.45978102554</v>
      </c>
      <c r="H85">
        <f>'Financial Model'!O93</f>
        <v>-123681.66015786317</v>
      </c>
      <c r="I85">
        <f>'Financial Model'!P93</f>
        <v>-130458.74535677023</v>
      </c>
      <c r="J85">
        <f>'Financial Model'!Q93</f>
        <v>-134702.61713134183</v>
      </c>
      <c r="K85">
        <f>'Financial Model'!R93</f>
        <v>-163229.64551074762</v>
      </c>
      <c r="L85">
        <f>'Financial Model'!S93</f>
        <v>-173119.74385994521</v>
      </c>
      <c r="M85">
        <f>'Financial Model'!T93</f>
        <v>-212705.92701852426</v>
      </c>
      <c r="N85">
        <f>'Financial Model'!U93</f>
        <v>-214321.49483593885</v>
      </c>
      <c r="O85">
        <f>'Financial Model'!V93</f>
        <v>-240225.55201084877</v>
      </c>
      <c r="P85">
        <f>'Financial Model'!W93</f>
        <v>-252487.07352254936</v>
      </c>
      <c r="Q85">
        <f>'Financial Model'!X93</f>
        <v>-290821.84937054681</v>
      </c>
      <c r="R85">
        <f>'Financial Model'!Y93</f>
        <v>-306624.23026010743</v>
      </c>
      <c r="S85">
        <f>'Financial Model'!Z93</f>
        <v>0</v>
      </c>
      <c r="T85">
        <f>'Financial Model'!AA93</f>
        <v>0</v>
      </c>
      <c r="U85">
        <f>'Financial Model'!AB93</f>
        <v>0</v>
      </c>
    </row>
    <row r="86" spans="2:21" x14ac:dyDescent="0.2">
      <c r="B86">
        <f>'Financial Model'!I94</f>
        <v>0</v>
      </c>
      <c r="C86">
        <f>'Financial Model'!J94</f>
        <v>0</v>
      </c>
      <c r="D86">
        <f>'Financial Model'!K94</f>
        <v>0</v>
      </c>
      <c r="E86">
        <f>'Financial Model'!L94</f>
        <v>0</v>
      </c>
      <c r="F86">
        <f>'Financial Model'!M94</f>
        <v>0</v>
      </c>
      <c r="G86">
        <f>'Financial Model'!N94</f>
        <v>0</v>
      </c>
      <c r="H86">
        <f>'Financial Model'!O94</f>
        <v>0</v>
      </c>
      <c r="I86">
        <f>'Financial Model'!P94</f>
        <v>0</v>
      </c>
      <c r="J86">
        <f>'Financial Model'!Q94</f>
        <v>0</v>
      </c>
      <c r="K86">
        <f>'Financial Model'!R94</f>
        <v>0</v>
      </c>
      <c r="L86">
        <f>'Financial Model'!S94</f>
        <v>0</v>
      </c>
      <c r="M86">
        <f>'Financial Model'!T94</f>
        <v>0</v>
      </c>
      <c r="N86">
        <f>'Financial Model'!U94</f>
        <v>0</v>
      </c>
      <c r="O86">
        <f>'Financial Model'!V94</f>
        <v>0</v>
      </c>
      <c r="P86">
        <f>'Financial Model'!W94</f>
        <v>0</v>
      </c>
      <c r="Q86">
        <f>'Financial Model'!X94</f>
        <v>0</v>
      </c>
      <c r="R86">
        <f>'Financial Model'!Y94</f>
        <v>0</v>
      </c>
      <c r="S86">
        <f>'Financial Model'!Z94</f>
        <v>0</v>
      </c>
      <c r="T86">
        <f>'Financial Model'!AA94</f>
        <v>0</v>
      </c>
      <c r="U86">
        <f>'Financial Model'!AB94</f>
        <v>0</v>
      </c>
    </row>
    <row r="87" spans="2:21" x14ac:dyDescent="0.2">
      <c r="B87">
        <f>'Financial Model'!I95</f>
        <v>0</v>
      </c>
      <c r="C87">
        <f>'Financial Model'!J95</f>
        <v>0</v>
      </c>
      <c r="D87">
        <f>'Financial Model'!K95</f>
        <v>0</v>
      </c>
      <c r="E87">
        <f>'Financial Model'!L95</f>
        <v>0</v>
      </c>
      <c r="F87">
        <f>'Financial Model'!M95</f>
        <v>0</v>
      </c>
      <c r="G87">
        <f>'Financial Model'!N95</f>
        <v>0</v>
      </c>
      <c r="H87">
        <f>'Financial Model'!O95</f>
        <v>0</v>
      </c>
      <c r="I87">
        <f>'Financial Model'!P95</f>
        <v>0</v>
      </c>
      <c r="J87">
        <f>'Financial Model'!Q95</f>
        <v>0</v>
      </c>
      <c r="K87">
        <f>'Financial Model'!R95</f>
        <v>0</v>
      </c>
      <c r="L87">
        <f>'Financial Model'!S95</f>
        <v>0</v>
      </c>
      <c r="M87">
        <f>'Financial Model'!T95</f>
        <v>0</v>
      </c>
      <c r="N87">
        <f>'Financial Model'!U95</f>
        <v>0</v>
      </c>
      <c r="O87">
        <f>'Financial Model'!V95</f>
        <v>0</v>
      </c>
      <c r="P87">
        <f>'Financial Model'!W95</f>
        <v>0</v>
      </c>
      <c r="Q87">
        <f>'Financial Model'!X95</f>
        <v>0</v>
      </c>
      <c r="R87">
        <f>'Financial Model'!Y95</f>
        <v>0</v>
      </c>
      <c r="S87">
        <f>'Financial Model'!Z95</f>
        <v>0</v>
      </c>
      <c r="T87">
        <f>'Financial Model'!AA95</f>
        <v>0</v>
      </c>
      <c r="U87">
        <f>'Financial Model'!AB95</f>
        <v>0</v>
      </c>
    </row>
    <row r="88" spans="2:21" x14ac:dyDescent="0.2">
      <c r="B88">
        <f>'Financial Model'!I96</f>
        <v>0</v>
      </c>
      <c r="C88">
        <f>'Financial Model'!J96</f>
        <v>0</v>
      </c>
      <c r="D88">
        <f>'Financial Model'!K96</f>
        <v>0</v>
      </c>
      <c r="E88">
        <f>'Financial Model'!L96</f>
        <v>0</v>
      </c>
      <c r="F88">
        <f>'Financial Model'!M96</f>
        <v>0</v>
      </c>
      <c r="G88">
        <f>'Financial Model'!N96</f>
        <v>0</v>
      </c>
      <c r="H88">
        <f>'Financial Model'!O96</f>
        <v>0</v>
      </c>
      <c r="I88">
        <f>'Financial Model'!P96</f>
        <v>0</v>
      </c>
      <c r="J88">
        <f>'Financial Model'!Q96</f>
        <v>0</v>
      </c>
      <c r="K88">
        <f>'Financial Model'!R96</f>
        <v>0</v>
      </c>
      <c r="L88">
        <f>'Financial Model'!S96</f>
        <v>0</v>
      </c>
      <c r="M88">
        <f>'Financial Model'!T96</f>
        <v>0</v>
      </c>
      <c r="N88">
        <f>'Financial Model'!U96</f>
        <v>0</v>
      </c>
      <c r="O88">
        <f>'Financial Model'!V96</f>
        <v>0</v>
      </c>
      <c r="P88">
        <f>'Financial Model'!W96</f>
        <v>0</v>
      </c>
      <c r="Q88">
        <f>'Financial Model'!X96</f>
        <v>0</v>
      </c>
      <c r="R88">
        <f>'Financial Model'!Y96</f>
        <v>0</v>
      </c>
      <c r="S88">
        <f>'Financial Model'!Z96</f>
        <v>0</v>
      </c>
      <c r="T88">
        <f>'Financial Model'!AA96</f>
        <v>0</v>
      </c>
      <c r="U88">
        <f>'Financial Model'!AB96</f>
        <v>0</v>
      </c>
    </row>
    <row r="89" spans="2:21" x14ac:dyDescent="0.2">
      <c r="B89">
        <f>'Financial Model'!I97</f>
        <v>0</v>
      </c>
      <c r="C89">
        <f>'Financial Model'!J97</f>
        <v>0</v>
      </c>
      <c r="D89">
        <f>'Financial Model'!K97</f>
        <v>0</v>
      </c>
      <c r="E89">
        <f>'Financial Model'!L97</f>
        <v>0</v>
      </c>
      <c r="F89">
        <f>'Financial Model'!M97</f>
        <v>0</v>
      </c>
      <c r="G89">
        <f>'Financial Model'!N97</f>
        <v>0</v>
      </c>
      <c r="H89">
        <f>'Financial Model'!O97</f>
        <v>0</v>
      </c>
      <c r="I89">
        <f>'Financial Model'!P97</f>
        <v>0</v>
      </c>
      <c r="J89">
        <f>'Financial Model'!Q97</f>
        <v>0</v>
      </c>
      <c r="K89">
        <f>'Financial Model'!R97</f>
        <v>0</v>
      </c>
      <c r="L89">
        <f>'Financial Model'!S97</f>
        <v>0</v>
      </c>
      <c r="M89">
        <f>'Financial Model'!T97</f>
        <v>0</v>
      </c>
      <c r="N89">
        <f>'Financial Model'!U97</f>
        <v>0</v>
      </c>
      <c r="O89">
        <f>'Financial Model'!V97</f>
        <v>0</v>
      </c>
      <c r="P89">
        <f>'Financial Model'!W97</f>
        <v>0</v>
      </c>
      <c r="Q89">
        <f>'Financial Model'!X97</f>
        <v>0</v>
      </c>
      <c r="R89">
        <f>'Financial Model'!Y97</f>
        <v>0</v>
      </c>
      <c r="S89">
        <f>'Financial Model'!Z97</f>
        <v>0</v>
      </c>
      <c r="T89">
        <f>'Financial Model'!AA97</f>
        <v>0</v>
      </c>
      <c r="U89">
        <f>'Financial Model'!AB97</f>
        <v>0</v>
      </c>
    </row>
    <row r="90" spans="2:21" x14ac:dyDescent="0.2">
      <c r="B90">
        <f>'Financial Model'!I98</f>
        <v>0</v>
      </c>
      <c r="C90">
        <f>'Financial Model'!J98</f>
        <v>0</v>
      </c>
      <c r="D90">
        <f>'Financial Model'!K98</f>
        <v>0</v>
      </c>
      <c r="E90">
        <f>'Financial Model'!L98</f>
        <v>0</v>
      </c>
      <c r="F90">
        <f>'Financial Model'!M98</f>
        <v>0</v>
      </c>
      <c r="G90">
        <f>'Financial Model'!N98</f>
        <v>0</v>
      </c>
      <c r="H90">
        <f>'Financial Model'!O98</f>
        <v>0</v>
      </c>
      <c r="I90">
        <f>'Financial Model'!P98</f>
        <v>0</v>
      </c>
      <c r="J90">
        <f>'Financial Model'!Q98</f>
        <v>0</v>
      </c>
      <c r="K90">
        <f>'Financial Model'!R98</f>
        <v>0</v>
      </c>
      <c r="L90">
        <f>'Financial Model'!S98</f>
        <v>0</v>
      </c>
      <c r="M90">
        <f>'Financial Model'!T98</f>
        <v>0</v>
      </c>
      <c r="N90">
        <f>'Financial Model'!U98</f>
        <v>0</v>
      </c>
      <c r="O90">
        <f>'Financial Model'!V98</f>
        <v>0</v>
      </c>
      <c r="P90">
        <f>'Financial Model'!W98</f>
        <v>0</v>
      </c>
      <c r="Q90">
        <f>'Financial Model'!X98</f>
        <v>0</v>
      </c>
      <c r="R90">
        <f>'Financial Model'!Y98</f>
        <v>0</v>
      </c>
      <c r="S90">
        <f>'Financial Model'!Z98</f>
        <v>0</v>
      </c>
      <c r="T90">
        <f>'Financial Model'!AA98</f>
        <v>0</v>
      </c>
      <c r="U90">
        <f>'Financial Model'!AB98</f>
        <v>0</v>
      </c>
    </row>
    <row r="91" spans="2:21" x14ac:dyDescent="0.2">
      <c r="B91">
        <f>'Financial Model'!I99</f>
        <v>0</v>
      </c>
      <c r="C91">
        <f>'Financial Model'!J99</f>
        <v>0</v>
      </c>
      <c r="D91">
        <f>'Financial Model'!K99</f>
        <v>0</v>
      </c>
      <c r="E91">
        <f>'Financial Model'!L99</f>
        <v>0</v>
      </c>
      <c r="F91">
        <f>'Financial Model'!M99</f>
        <v>0</v>
      </c>
      <c r="G91">
        <f>'Financial Model'!N99</f>
        <v>0</v>
      </c>
      <c r="H91">
        <f>'Financial Model'!O99</f>
        <v>0</v>
      </c>
      <c r="I91">
        <f>'Financial Model'!P99</f>
        <v>0</v>
      </c>
      <c r="J91">
        <f>'Financial Model'!Q99</f>
        <v>0</v>
      </c>
      <c r="K91">
        <f>'Financial Model'!R99</f>
        <v>0</v>
      </c>
      <c r="L91">
        <f>'Financial Model'!S99</f>
        <v>0</v>
      </c>
      <c r="M91">
        <f>'Financial Model'!T99</f>
        <v>0</v>
      </c>
      <c r="N91">
        <f>'Financial Model'!U99</f>
        <v>0</v>
      </c>
      <c r="O91">
        <f>'Financial Model'!V99</f>
        <v>0</v>
      </c>
      <c r="P91">
        <f>'Financial Model'!W99</f>
        <v>0</v>
      </c>
      <c r="Q91">
        <f>'Financial Model'!X99</f>
        <v>0</v>
      </c>
      <c r="R91">
        <f>'Financial Model'!Y99</f>
        <v>0</v>
      </c>
      <c r="S91">
        <f>'Financial Model'!Z99</f>
        <v>0</v>
      </c>
      <c r="T91">
        <f>'Financial Model'!AA99</f>
        <v>0</v>
      </c>
      <c r="U91">
        <f>'Financial Model'!AB99</f>
        <v>0</v>
      </c>
    </row>
    <row r="92" spans="2:21" x14ac:dyDescent="0.2">
      <c r="B92">
        <f>'Financial Model'!I100</f>
        <v>0</v>
      </c>
      <c r="C92">
        <f>'Financial Model'!J100</f>
        <v>0</v>
      </c>
      <c r="D92">
        <f>'Financial Model'!K100</f>
        <v>0</v>
      </c>
      <c r="E92">
        <f>'Financial Model'!L100</f>
        <v>0</v>
      </c>
      <c r="F92">
        <f>'Financial Model'!M100</f>
        <v>0</v>
      </c>
      <c r="G92">
        <f>'Financial Model'!N100</f>
        <v>0</v>
      </c>
      <c r="H92">
        <f>'Financial Model'!O100</f>
        <v>0</v>
      </c>
      <c r="I92">
        <f>'Financial Model'!P100</f>
        <v>0</v>
      </c>
      <c r="J92">
        <f>'Financial Model'!Q100</f>
        <v>0</v>
      </c>
      <c r="K92">
        <f>'Financial Model'!R100</f>
        <v>0</v>
      </c>
      <c r="L92">
        <f>'Financial Model'!S100</f>
        <v>0</v>
      </c>
      <c r="M92">
        <f>'Financial Model'!T100</f>
        <v>0</v>
      </c>
      <c r="N92">
        <f>'Financial Model'!U100</f>
        <v>0</v>
      </c>
      <c r="O92">
        <f>'Financial Model'!V100</f>
        <v>0</v>
      </c>
      <c r="P92">
        <f>'Financial Model'!W100</f>
        <v>0</v>
      </c>
      <c r="Q92">
        <f>'Financial Model'!X100</f>
        <v>0</v>
      </c>
      <c r="R92">
        <f>'Financial Model'!Y100</f>
        <v>0</v>
      </c>
      <c r="S92">
        <f>'Financial Model'!Z100</f>
        <v>0</v>
      </c>
      <c r="T92">
        <f>'Financial Model'!AA100</f>
        <v>0</v>
      </c>
      <c r="U92">
        <f>'Financial Model'!AB100</f>
        <v>0</v>
      </c>
    </row>
    <row r="93" spans="2:21" x14ac:dyDescent="0.2">
      <c r="B93">
        <f>'Financial Model'!I101</f>
        <v>0</v>
      </c>
      <c r="C93">
        <f>'Financial Model'!J101</f>
        <v>0</v>
      </c>
      <c r="D93">
        <f>'Financial Model'!K101</f>
        <v>0</v>
      </c>
      <c r="E93">
        <f>'Financial Model'!L101</f>
        <v>0</v>
      </c>
      <c r="F93">
        <f>'Financial Model'!M101</f>
        <v>0</v>
      </c>
      <c r="G93">
        <f>'Financial Model'!N101</f>
        <v>0</v>
      </c>
      <c r="H93">
        <f>'Financial Model'!O101</f>
        <v>0</v>
      </c>
      <c r="I93">
        <f>'Financial Model'!P101</f>
        <v>0</v>
      </c>
      <c r="J93">
        <f>'Financial Model'!Q101</f>
        <v>0</v>
      </c>
      <c r="K93">
        <f>'Financial Model'!R101</f>
        <v>0</v>
      </c>
      <c r="L93">
        <f>'Financial Model'!S101</f>
        <v>0</v>
      </c>
      <c r="M93">
        <f>'Financial Model'!T101</f>
        <v>0</v>
      </c>
      <c r="N93">
        <f>'Financial Model'!U101</f>
        <v>0</v>
      </c>
      <c r="O93">
        <f>'Financial Model'!V101</f>
        <v>0</v>
      </c>
      <c r="P93">
        <f>'Financial Model'!W101</f>
        <v>0</v>
      </c>
      <c r="Q93">
        <f>'Financial Model'!X101</f>
        <v>0</v>
      </c>
      <c r="R93">
        <f>'Financial Model'!Y101</f>
        <v>0</v>
      </c>
      <c r="S93">
        <f>'Financial Model'!Z101</f>
        <v>0</v>
      </c>
      <c r="T93">
        <f>'Financial Model'!AA101</f>
        <v>0</v>
      </c>
      <c r="U93">
        <f>'Financial Model'!AB101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23585-8C4A-E047-8A59-842085B735E2}">
  <dimension ref="A1:P63"/>
  <sheetViews>
    <sheetView topLeftCell="A5" zoomScale="130" zoomScaleNormal="130" workbookViewId="0">
      <pane xSplit="1" topLeftCell="B1" activePane="topRight" state="frozen"/>
      <selection pane="topRight" activeCell="P51" sqref="P51"/>
    </sheetView>
  </sheetViews>
  <sheetFormatPr baseColWidth="10" defaultColWidth="8.83203125" defaultRowHeight="15" x14ac:dyDescent="0.2"/>
  <cols>
    <col min="1" max="1" width="32.6640625" style="50" customWidth="1"/>
    <col min="2" max="11" width="11.1640625" style="50" customWidth="1"/>
    <col min="12" max="12" width="11.1640625" style="51" customWidth="1"/>
    <col min="13" max="13" width="10.33203125" style="50" customWidth="1"/>
    <col min="14" max="14" width="12" style="50" customWidth="1"/>
    <col min="15" max="15" width="8.83203125" style="50"/>
    <col min="16" max="16" width="11.6640625" style="50" bestFit="1" customWidth="1"/>
    <col min="17" max="16384" width="8.83203125" style="50"/>
  </cols>
  <sheetData>
    <row r="1" spans="1:16" ht="18" x14ac:dyDescent="0.2">
      <c r="A1" s="85" t="s">
        <v>137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</row>
    <row r="2" spans="1:16" ht="18" x14ac:dyDescent="0.2">
      <c r="A2" s="85" t="s">
        <v>136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</row>
    <row r="3" spans="1:16" x14ac:dyDescent="0.2">
      <c r="A3" s="86" t="s">
        <v>135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</row>
    <row r="5" spans="1:16" ht="27" x14ac:dyDescent="0.2">
      <c r="A5" s="62"/>
      <c r="B5" s="60" t="s">
        <v>134</v>
      </c>
      <c r="C5" s="60" t="s">
        <v>133</v>
      </c>
      <c r="D5" s="60" t="s">
        <v>132</v>
      </c>
      <c r="E5" s="60" t="s">
        <v>131</v>
      </c>
      <c r="F5" s="60" t="s">
        <v>130</v>
      </c>
      <c r="G5" s="60" t="s">
        <v>129</v>
      </c>
      <c r="H5" s="60" t="s">
        <v>128</v>
      </c>
      <c r="I5" s="60" t="s">
        <v>127</v>
      </c>
      <c r="J5" s="60" t="s">
        <v>126</v>
      </c>
      <c r="K5" s="60" t="s">
        <v>125</v>
      </c>
      <c r="L5" s="61" t="s">
        <v>124</v>
      </c>
      <c r="M5" s="60" t="s">
        <v>123</v>
      </c>
      <c r="N5" s="60" t="s">
        <v>122</v>
      </c>
    </row>
    <row r="6" spans="1:16" x14ac:dyDescent="0.2">
      <c r="A6" s="54" t="s">
        <v>121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3"/>
      <c r="M6" s="52"/>
      <c r="N6" s="52"/>
    </row>
    <row r="7" spans="1:16" x14ac:dyDescent="0.2">
      <c r="A7" s="54" t="s">
        <v>120</v>
      </c>
      <c r="B7" s="52"/>
      <c r="C7" s="52"/>
      <c r="D7" s="52"/>
      <c r="E7" s="57">
        <f>1646.38</f>
        <v>1646.38</v>
      </c>
      <c r="F7" s="57">
        <f>1453.45</f>
        <v>1453.45</v>
      </c>
      <c r="G7" s="57">
        <f>2209.52</f>
        <v>2209.52</v>
      </c>
      <c r="H7" s="57">
        <f>4351</f>
        <v>4351</v>
      </c>
      <c r="I7" s="57">
        <f>3776.29</f>
        <v>3776.29</v>
      </c>
      <c r="J7" s="57">
        <f>6766.28</f>
        <v>6766.28</v>
      </c>
      <c r="K7" s="57">
        <f>7713.07</f>
        <v>7713.07</v>
      </c>
      <c r="L7" s="58">
        <f>7637.72</f>
        <v>7637.72</v>
      </c>
      <c r="M7" s="57">
        <f>3269.63</f>
        <v>3269.63</v>
      </c>
      <c r="N7" s="57">
        <f>(((((((((((B7)+(C7))+(D7))+(E7))+(F7))+(G7))+(H7))+(I7))+(J7))+(K7))+(L7))+(M7)</f>
        <v>38823.339999999997</v>
      </c>
    </row>
    <row r="8" spans="1:16" x14ac:dyDescent="0.2">
      <c r="A8" s="54" t="s">
        <v>119</v>
      </c>
      <c r="B8" s="52"/>
      <c r="C8" s="52"/>
      <c r="D8" s="52"/>
      <c r="E8" s="52"/>
      <c r="F8" s="57">
        <f>0.25</f>
        <v>0.25</v>
      </c>
      <c r="G8" s="52"/>
      <c r="H8" s="52"/>
      <c r="I8" s="52"/>
      <c r="J8" s="52"/>
      <c r="K8" s="52"/>
      <c r="L8" s="53"/>
      <c r="M8" s="52"/>
      <c r="N8" s="57">
        <f>(((((((((((B8)+(C8))+(D8))+(E8))+(F8))+(G8))+(H8))+(I8))+(J8))+(K8))+(L8))+(M8)</f>
        <v>0.25</v>
      </c>
    </row>
    <row r="9" spans="1:16" x14ac:dyDescent="0.2">
      <c r="A9" s="54" t="s">
        <v>118</v>
      </c>
      <c r="B9" s="55">
        <f t="shared" ref="B9:M9" si="0">(B7)+(B8)</f>
        <v>0</v>
      </c>
      <c r="C9" s="55">
        <f t="shared" si="0"/>
        <v>0</v>
      </c>
      <c r="D9" s="55">
        <f t="shared" si="0"/>
        <v>0</v>
      </c>
      <c r="E9" s="55">
        <f t="shared" si="0"/>
        <v>1646.38</v>
      </c>
      <c r="F9" s="55">
        <f t="shared" si="0"/>
        <v>1453.7</v>
      </c>
      <c r="G9" s="55">
        <f t="shared" si="0"/>
        <v>2209.52</v>
      </c>
      <c r="H9" s="55">
        <f t="shared" si="0"/>
        <v>4351</v>
      </c>
      <c r="I9" s="55">
        <f t="shared" si="0"/>
        <v>3776.29</v>
      </c>
      <c r="J9" s="55">
        <f t="shared" si="0"/>
        <v>6766.28</v>
      </c>
      <c r="K9" s="55">
        <f t="shared" si="0"/>
        <v>7713.07</v>
      </c>
      <c r="L9" s="56">
        <f t="shared" si="0"/>
        <v>7637.72</v>
      </c>
      <c r="M9" s="55">
        <f t="shared" si="0"/>
        <v>3269.63</v>
      </c>
      <c r="N9" s="55">
        <f>(((((((((((B9)+(C9))+(D9))+(E9))+(F9))+(G9))+(H9))+(I9))+(J9))+(K9))+(L9))+(M9)</f>
        <v>38823.589999999997</v>
      </c>
      <c r="P9" s="59">
        <f t="shared" ref="P9:P51" si="1">SUM(B9:K9)/11</f>
        <v>2537.8399999999997</v>
      </c>
    </row>
    <row r="10" spans="1:16" x14ac:dyDescent="0.2">
      <c r="A10" s="54" t="s">
        <v>117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  <c r="M10" s="52"/>
      <c r="N10" s="52"/>
      <c r="P10" s="59">
        <f t="shared" si="1"/>
        <v>0</v>
      </c>
    </row>
    <row r="11" spans="1:16" x14ac:dyDescent="0.2">
      <c r="A11" s="54" t="s">
        <v>116</v>
      </c>
      <c r="B11" s="57">
        <f>165.59</f>
        <v>165.59</v>
      </c>
      <c r="C11" s="57">
        <f>551.59</f>
        <v>551.59</v>
      </c>
      <c r="D11" s="57">
        <f>1590.99</f>
        <v>1590.99</v>
      </c>
      <c r="E11" s="57">
        <f>768.33</f>
        <v>768.33</v>
      </c>
      <c r="F11" s="57">
        <f>2692.83</f>
        <v>2692.83</v>
      </c>
      <c r="G11" s="57">
        <f>1236.67</f>
        <v>1236.67</v>
      </c>
      <c r="H11" s="57">
        <f>3428.37</f>
        <v>3428.37</v>
      </c>
      <c r="I11" s="57">
        <f>4061.47</f>
        <v>4061.47</v>
      </c>
      <c r="J11" s="57">
        <f>1212.47</f>
        <v>1212.47</v>
      </c>
      <c r="K11" s="57">
        <f>3162.95</f>
        <v>3162.95</v>
      </c>
      <c r="L11" s="58">
        <f>5485.06</f>
        <v>5485.06</v>
      </c>
      <c r="M11" s="52"/>
      <c r="N11" s="57">
        <f t="shared" ref="N11:N18" si="2">(((((((((((B11)+(C11))+(D11))+(E11))+(F11))+(G11))+(H11))+(I11))+(J11))+(K11))+(L11))+(M11)</f>
        <v>24356.32</v>
      </c>
      <c r="P11" s="59">
        <f t="shared" si="1"/>
        <v>1715.5690909090908</v>
      </c>
    </row>
    <row r="12" spans="1:16" x14ac:dyDescent="0.2">
      <c r="A12" s="54" t="s">
        <v>115</v>
      </c>
      <c r="B12" s="57">
        <f>38.51</f>
        <v>38.51</v>
      </c>
      <c r="C12" s="57">
        <f>47.71</f>
        <v>47.71</v>
      </c>
      <c r="D12" s="57">
        <f>307.55</f>
        <v>307.55</v>
      </c>
      <c r="E12" s="57">
        <f>1114.73</f>
        <v>1114.73</v>
      </c>
      <c r="F12" s="57">
        <f>4599.22</f>
        <v>4599.22</v>
      </c>
      <c r="G12" s="57">
        <f>2611.56</f>
        <v>2611.56</v>
      </c>
      <c r="H12" s="57">
        <f>3514.2</f>
        <v>3514.2</v>
      </c>
      <c r="I12" s="57">
        <f>1420.44</f>
        <v>1420.44</v>
      </c>
      <c r="J12" s="57">
        <f>2387.05</f>
        <v>2387.0500000000002</v>
      </c>
      <c r="K12" s="57">
        <f>2093.47</f>
        <v>2093.4699999999998</v>
      </c>
      <c r="L12" s="58">
        <f>52.61</f>
        <v>52.61</v>
      </c>
      <c r="M12" s="52"/>
      <c r="N12" s="57">
        <f t="shared" si="2"/>
        <v>18187.050000000003</v>
      </c>
      <c r="P12" s="59">
        <f t="shared" si="1"/>
        <v>1648.5854545454547</v>
      </c>
    </row>
    <row r="13" spans="1:16" x14ac:dyDescent="0.2">
      <c r="A13" s="54" t="s">
        <v>114</v>
      </c>
      <c r="B13" s="57">
        <f>297.03</f>
        <v>297.02999999999997</v>
      </c>
      <c r="C13" s="57">
        <f>338.2</f>
        <v>338.2</v>
      </c>
      <c r="D13" s="57">
        <f>340.13</f>
        <v>340.13</v>
      </c>
      <c r="E13" s="57">
        <f>394.31</f>
        <v>394.31</v>
      </c>
      <c r="F13" s="57">
        <f>560.44</f>
        <v>560.44000000000005</v>
      </c>
      <c r="G13" s="57">
        <f>551.54</f>
        <v>551.54</v>
      </c>
      <c r="H13" s="57">
        <f>762.6</f>
        <v>762.6</v>
      </c>
      <c r="I13" s="57">
        <f>1791.57</f>
        <v>1791.57</v>
      </c>
      <c r="J13" s="57">
        <f>993.13</f>
        <v>993.13</v>
      </c>
      <c r="K13" s="57">
        <f>1085.62</f>
        <v>1085.6199999999999</v>
      </c>
      <c r="L13" s="58">
        <f>944.76</f>
        <v>944.76</v>
      </c>
      <c r="M13" s="52"/>
      <c r="N13" s="57">
        <f t="shared" si="2"/>
        <v>8059.33</v>
      </c>
      <c r="P13" s="59">
        <f t="shared" si="1"/>
        <v>646.77909090909088</v>
      </c>
    </row>
    <row r="14" spans="1:16" x14ac:dyDescent="0.2">
      <c r="A14" s="54" t="s">
        <v>113</v>
      </c>
      <c r="B14" s="57">
        <f>908.32</f>
        <v>908.32</v>
      </c>
      <c r="C14" s="57">
        <f>330</f>
        <v>330</v>
      </c>
      <c r="D14" s="57">
        <f>330</f>
        <v>330</v>
      </c>
      <c r="E14" s="57">
        <f>511.37</f>
        <v>511.37</v>
      </c>
      <c r="F14" s="57">
        <f>1387.79</f>
        <v>1387.79</v>
      </c>
      <c r="G14" s="57">
        <f>859.8</f>
        <v>859.8</v>
      </c>
      <c r="H14" s="57">
        <f>1599.82</f>
        <v>1599.82</v>
      </c>
      <c r="I14" s="57">
        <f>945.81</f>
        <v>945.81</v>
      </c>
      <c r="J14" s="57">
        <f>534.78</f>
        <v>534.78</v>
      </c>
      <c r="K14" s="57">
        <f>708.64</f>
        <v>708.64</v>
      </c>
      <c r="L14" s="53"/>
      <c r="M14" s="52"/>
      <c r="N14" s="57">
        <f t="shared" si="2"/>
        <v>8116.33</v>
      </c>
      <c r="P14" s="59">
        <f t="shared" si="1"/>
        <v>737.84818181818184</v>
      </c>
    </row>
    <row r="15" spans="1:16" x14ac:dyDescent="0.2">
      <c r="A15" s="54" t="s">
        <v>112</v>
      </c>
      <c r="B15" s="55">
        <f t="shared" ref="B15:M15" si="3">((B12)+(B13))+(B14)</f>
        <v>1243.8600000000001</v>
      </c>
      <c r="C15" s="55">
        <f t="shared" si="3"/>
        <v>715.91</v>
      </c>
      <c r="D15" s="55">
        <f t="shared" si="3"/>
        <v>977.68000000000006</v>
      </c>
      <c r="E15" s="55">
        <f t="shared" si="3"/>
        <v>2020.4099999999999</v>
      </c>
      <c r="F15" s="55">
        <f t="shared" si="3"/>
        <v>6547.45</v>
      </c>
      <c r="G15" s="55">
        <f t="shared" si="3"/>
        <v>4022.8999999999996</v>
      </c>
      <c r="H15" s="55">
        <f t="shared" si="3"/>
        <v>5876.62</v>
      </c>
      <c r="I15" s="55">
        <f t="shared" si="3"/>
        <v>4157.82</v>
      </c>
      <c r="J15" s="55">
        <f t="shared" si="3"/>
        <v>3914.96</v>
      </c>
      <c r="K15" s="55">
        <f>((K12)+(K13))+(K14)</f>
        <v>3887.7299999999996</v>
      </c>
      <c r="L15" s="56">
        <f t="shared" si="3"/>
        <v>997.37</v>
      </c>
      <c r="M15" s="55">
        <f t="shared" si="3"/>
        <v>0</v>
      </c>
      <c r="N15" s="55">
        <f t="shared" si="2"/>
        <v>34362.71</v>
      </c>
      <c r="P15" s="59">
        <f t="shared" si="1"/>
        <v>3033.2127272727271</v>
      </c>
    </row>
    <row r="16" spans="1:16" x14ac:dyDescent="0.2">
      <c r="A16" s="54" t="s">
        <v>111</v>
      </c>
      <c r="B16" s="57">
        <f>151.26</f>
        <v>151.26</v>
      </c>
      <c r="C16" s="57">
        <f>75.86</f>
        <v>75.86</v>
      </c>
      <c r="D16" s="57">
        <f>301.96</f>
        <v>301.95999999999998</v>
      </c>
      <c r="E16" s="57">
        <f>309.86</f>
        <v>309.86</v>
      </c>
      <c r="F16" s="57">
        <f>2514.17</f>
        <v>2514.17</v>
      </c>
      <c r="G16" s="57">
        <f>1464.9</f>
        <v>1464.9</v>
      </c>
      <c r="H16" s="57">
        <f>2828.47</f>
        <v>2828.47</v>
      </c>
      <c r="I16" s="57">
        <f>1369.6</f>
        <v>1369.6</v>
      </c>
      <c r="J16" s="57">
        <f>1945.58</f>
        <v>1945.58</v>
      </c>
      <c r="K16" s="57">
        <f>2833.65</f>
        <v>2833.65</v>
      </c>
      <c r="L16" s="58">
        <f>1258.78</f>
        <v>1258.78</v>
      </c>
      <c r="M16" s="52"/>
      <c r="N16" s="57">
        <f t="shared" si="2"/>
        <v>15054.09</v>
      </c>
      <c r="P16" s="59">
        <f t="shared" si="1"/>
        <v>1254.1190909090908</v>
      </c>
    </row>
    <row r="17" spans="1:16" x14ac:dyDescent="0.2">
      <c r="A17" s="54" t="s">
        <v>110</v>
      </c>
      <c r="B17" s="55">
        <f t="shared" ref="B17:M17" si="4">((B11)+(B15))+(B16)</f>
        <v>1560.71</v>
      </c>
      <c r="C17" s="55">
        <f t="shared" si="4"/>
        <v>1343.36</v>
      </c>
      <c r="D17" s="55">
        <f t="shared" si="4"/>
        <v>2870.63</v>
      </c>
      <c r="E17" s="55">
        <f t="shared" si="4"/>
        <v>3098.6</v>
      </c>
      <c r="F17" s="55">
        <f t="shared" si="4"/>
        <v>11754.449999999999</v>
      </c>
      <c r="G17" s="55">
        <f t="shared" si="4"/>
        <v>6724.4699999999993</v>
      </c>
      <c r="H17" s="55">
        <f t="shared" si="4"/>
        <v>12133.46</v>
      </c>
      <c r="I17" s="55">
        <f t="shared" si="4"/>
        <v>9588.89</v>
      </c>
      <c r="J17" s="55">
        <f t="shared" si="4"/>
        <v>7073.01</v>
      </c>
      <c r="K17" s="55">
        <f t="shared" si="4"/>
        <v>9884.33</v>
      </c>
      <c r="L17" s="56">
        <f t="shared" si="4"/>
        <v>7741.21</v>
      </c>
      <c r="M17" s="55">
        <f t="shared" si="4"/>
        <v>0</v>
      </c>
      <c r="N17" s="55">
        <f t="shared" si="2"/>
        <v>73773.12000000001</v>
      </c>
      <c r="P17" s="59">
        <f t="shared" si="1"/>
        <v>6002.9009090909094</v>
      </c>
    </row>
    <row r="18" spans="1:16" x14ac:dyDescent="0.2">
      <c r="A18" s="54" t="s">
        <v>49</v>
      </c>
      <c r="B18" s="55">
        <f t="shared" ref="B18:M18" si="5">(B9)-(B17)</f>
        <v>-1560.71</v>
      </c>
      <c r="C18" s="55">
        <f t="shared" si="5"/>
        <v>-1343.36</v>
      </c>
      <c r="D18" s="55">
        <f t="shared" si="5"/>
        <v>-2870.63</v>
      </c>
      <c r="E18" s="55">
        <f t="shared" si="5"/>
        <v>-1452.2199999999998</v>
      </c>
      <c r="F18" s="55">
        <f t="shared" si="5"/>
        <v>-10300.749999999998</v>
      </c>
      <c r="G18" s="55">
        <f t="shared" si="5"/>
        <v>-4514.9499999999989</v>
      </c>
      <c r="H18" s="55">
        <f t="shared" si="5"/>
        <v>-7782.4599999999991</v>
      </c>
      <c r="I18" s="55">
        <f t="shared" si="5"/>
        <v>-5812.5999999999995</v>
      </c>
      <c r="J18" s="55">
        <f t="shared" si="5"/>
        <v>-306.73000000000047</v>
      </c>
      <c r="K18" s="55">
        <f t="shared" si="5"/>
        <v>-2171.2600000000002</v>
      </c>
      <c r="L18" s="56">
        <f t="shared" si="5"/>
        <v>-103.48999999999978</v>
      </c>
      <c r="M18" s="55">
        <f t="shared" si="5"/>
        <v>3269.63</v>
      </c>
      <c r="N18" s="55">
        <f t="shared" si="2"/>
        <v>-34949.53</v>
      </c>
      <c r="P18" s="59">
        <f t="shared" si="1"/>
        <v>-3465.0609090909088</v>
      </c>
    </row>
    <row r="19" spans="1:16" x14ac:dyDescent="0.2">
      <c r="A19" s="54" t="s">
        <v>109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3"/>
      <c r="M19" s="52"/>
      <c r="N19" s="52"/>
      <c r="P19" s="59">
        <f t="shared" si="1"/>
        <v>0</v>
      </c>
    </row>
    <row r="20" spans="1:16" x14ac:dyDescent="0.2">
      <c r="A20" s="54" t="s">
        <v>108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3"/>
      <c r="M20" s="52"/>
      <c r="N20" s="57">
        <f t="shared" ref="N20:N51" si="6">(((((((((((B20)+(C20))+(D20))+(E20))+(F20))+(G20))+(H20))+(I20))+(J20))+(K20))+(L20))+(M20)</f>
        <v>0</v>
      </c>
      <c r="P20" s="59">
        <f t="shared" si="1"/>
        <v>0</v>
      </c>
    </row>
    <row r="21" spans="1:16" x14ac:dyDescent="0.2">
      <c r="A21" s="54" t="s">
        <v>107</v>
      </c>
      <c r="B21" s="57">
        <f>2893.05</f>
        <v>2893.05</v>
      </c>
      <c r="C21" s="52"/>
      <c r="D21" s="52"/>
      <c r="E21" s="52"/>
      <c r="F21" s="52"/>
      <c r="G21" s="52"/>
      <c r="H21" s="52"/>
      <c r="I21" s="52"/>
      <c r="J21" s="52"/>
      <c r="K21" s="52"/>
      <c r="L21" s="53"/>
      <c r="M21" s="52"/>
      <c r="N21" s="57">
        <f t="shared" si="6"/>
        <v>2893.05</v>
      </c>
      <c r="P21" s="59">
        <f t="shared" si="1"/>
        <v>263.00454545454545</v>
      </c>
    </row>
    <row r="22" spans="1:16" x14ac:dyDescent="0.2">
      <c r="A22" s="54" t="s">
        <v>106</v>
      </c>
      <c r="B22" s="57">
        <f>6.67</f>
        <v>6.67</v>
      </c>
      <c r="C22" s="52"/>
      <c r="D22" s="52"/>
      <c r="E22" s="52"/>
      <c r="F22" s="52"/>
      <c r="G22" s="52"/>
      <c r="H22" s="52"/>
      <c r="I22" s="52"/>
      <c r="J22" s="52"/>
      <c r="K22" s="52"/>
      <c r="L22" s="53"/>
      <c r="M22" s="52"/>
      <c r="N22" s="57">
        <f t="shared" si="6"/>
        <v>6.67</v>
      </c>
      <c r="P22" s="59">
        <f t="shared" si="1"/>
        <v>0.60636363636363633</v>
      </c>
    </row>
    <row r="23" spans="1:16" x14ac:dyDescent="0.2">
      <c r="A23" s="54" t="s">
        <v>105</v>
      </c>
      <c r="B23" s="52"/>
      <c r="C23" s="57">
        <f>347.32</f>
        <v>347.32</v>
      </c>
      <c r="D23" s="57">
        <f>1887.16</f>
        <v>1887.16</v>
      </c>
      <c r="E23" s="57">
        <f>1859</f>
        <v>1859</v>
      </c>
      <c r="F23" s="57">
        <f>1197.13</f>
        <v>1197.1300000000001</v>
      </c>
      <c r="G23" s="57">
        <f>1189.4</f>
        <v>1189.4000000000001</v>
      </c>
      <c r="H23" s="57">
        <f>1208.67</f>
        <v>1208.67</v>
      </c>
      <c r="I23" s="57">
        <f>230.38</f>
        <v>230.38</v>
      </c>
      <c r="J23" s="57">
        <f>41.12</f>
        <v>41.12</v>
      </c>
      <c r="K23" s="57">
        <f>848.44</f>
        <v>848.44</v>
      </c>
      <c r="L23" s="58">
        <f>856.68</f>
        <v>856.68</v>
      </c>
      <c r="M23" s="52"/>
      <c r="N23" s="57">
        <f t="shared" si="6"/>
        <v>9665.3000000000011</v>
      </c>
      <c r="P23" s="59">
        <f t="shared" si="1"/>
        <v>800.78363636363645</v>
      </c>
    </row>
    <row r="24" spans="1:16" x14ac:dyDescent="0.2">
      <c r="A24" s="54" t="s">
        <v>104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8">
        <f>63.34</f>
        <v>63.34</v>
      </c>
      <c r="M24" s="52"/>
      <c r="N24" s="57">
        <f t="shared" si="6"/>
        <v>63.34</v>
      </c>
      <c r="P24" s="59">
        <f t="shared" si="1"/>
        <v>0</v>
      </c>
    </row>
    <row r="25" spans="1:16" x14ac:dyDescent="0.2">
      <c r="A25" s="54" t="s">
        <v>103</v>
      </c>
      <c r="B25" s="57">
        <f>499.9</f>
        <v>499.9</v>
      </c>
      <c r="C25" s="52"/>
      <c r="D25" s="52"/>
      <c r="E25" s="57">
        <f>2331.68</f>
        <v>2331.6799999999998</v>
      </c>
      <c r="F25" s="52"/>
      <c r="G25" s="52"/>
      <c r="H25" s="52"/>
      <c r="I25" s="52"/>
      <c r="J25" s="52"/>
      <c r="K25" s="52"/>
      <c r="L25" s="53"/>
      <c r="M25" s="52"/>
      <c r="N25" s="57">
        <f t="shared" si="6"/>
        <v>2831.58</v>
      </c>
      <c r="P25" s="59">
        <f t="shared" si="1"/>
        <v>257.41636363636366</v>
      </c>
    </row>
    <row r="26" spans="1:16" x14ac:dyDescent="0.2">
      <c r="A26" s="54" t="s">
        <v>53</v>
      </c>
      <c r="B26" s="55">
        <f t="shared" ref="B26:M26" si="7">(((((B20)+(B21))+(B22))+(B23))+(B24))+(B25)</f>
        <v>3399.6200000000003</v>
      </c>
      <c r="C26" s="55">
        <f t="shared" si="7"/>
        <v>347.32</v>
      </c>
      <c r="D26" s="55">
        <f t="shared" si="7"/>
        <v>1887.16</v>
      </c>
      <c r="E26" s="55">
        <f t="shared" si="7"/>
        <v>4190.68</v>
      </c>
      <c r="F26" s="55">
        <f t="shared" si="7"/>
        <v>1197.1300000000001</v>
      </c>
      <c r="G26" s="55">
        <f t="shared" si="7"/>
        <v>1189.4000000000001</v>
      </c>
      <c r="H26" s="55">
        <f t="shared" si="7"/>
        <v>1208.67</v>
      </c>
      <c r="I26" s="55">
        <f t="shared" si="7"/>
        <v>230.38</v>
      </c>
      <c r="J26" s="55">
        <f t="shared" si="7"/>
        <v>41.12</v>
      </c>
      <c r="K26" s="55">
        <f t="shared" si="7"/>
        <v>848.44</v>
      </c>
      <c r="L26" s="56">
        <f t="shared" si="7"/>
        <v>920.02</v>
      </c>
      <c r="M26" s="55">
        <f t="shared" si="7"/>
        <v>0</v>
      </c>
      <c r="N26" s="55">
        <f t="shared" si="6"/>
        <v>15459.94</v>
      </c>
      <c r="P26" s="59">
        <f t="shared" si="1"/>
        <v>1321.810909090909</v>
      </c>
    </row>
    <row r="27" spans="1:16" x14ac:dyDescent="0.2">
      <c r="A27" s="54" t="s">
        <v>102</v>
      </c>
      <c r="B27" s="57">
        <f>51247.34</f>
        <v>51247.34</v>
      </c>
      <c r="C27" s="57">
        <f>46435.67</f>
        <v>46435.67</v>
      </c>
      <c r="D27" s="57">
        <f>67432.96</f>
        <v>67432.960000000006</v>
      </c>
      <c r="E27" s="57">
        <f>50047.19</f>
        <v>50047.19</v>
      </c>
      <c r="F27" s="57">
        <f>68246.24</f>
        <v>68246.240000000005</v>
      </c>
      <c r="G27" s="57">
        <f>81559.87</f>
        <v>81559.87</v>
      </c>
      <c r="H27" s="57">
        <f>84427.72</f>
        <v>84427.72</v>
      </c>
      <c r="I27" s="57">
        <f>78022.99</f>
        <v>78022.990000000005</v>
      </c>
      <c r="J27" s="57">
        <f>29145.26</f>
        <v>29145.26</v>
      </c>
      <c r="K27" s="57">
        <f>34714.45</f>
        <v>34714.449999999997</v>
      </c>
      <c r="L27" s="58">
        <f>41221.67</f>
        <v>41221.67</v>
      </c>
      <c r="M27" s="57">
        <f>5427.89</f>
        <v>5427.89</v>
      </c>
      <c r="N27" s="57">
        <f t="shared" si="6"/>
        <v>637929.25</v>
      </c>
      <c r="P27" s="59">
        <f t="shared" si="1"/>
        <v>53752.699090909089</v>
      </c>
    </row>
    <row r="28" spans="1:16" x14ac:dyDescent="0.2">
      <c r="A28" s="54" t="s">
        <v>101</v>
      </c>
      <c r="B28" s="52"/>
      <c r="C28" s="52"/>
      <c r="D28" s="52"/>
      <c r="E28" s="57">
        <f>789.23</f>
        <v>789.23</v>
      </c>
      <c r="F28" s="57">
        <f>-214.95</f>
        <v>-214.95</v>
      </c>
      <c r="G28" s="52"/>
      <c r="H28" s="52"/>
      <c r="I28" s="52"/>
      <c r="J28" s="52"/>
      <c r="K28" s="52"/>
      <c r="L28" s="53"/>
      <c r="M28" s="52"/>
      <c r="N28" s="57">
        <f t="shared" si="6"/>
        <v>574.28</v>
      </c>
      <c r="P28" s="59">
        <f t="shared" si="1"/>
        <v>52.207272727272724</v>
      </c>
    </row>
    <row r="29" spans="1:16" x14ac:dyDescent="0.2">
      <c r="A29" s="54" t="s">
        <v>62</v>
      </c>
      <c r="B29" s="55">
        <f t="shared" ref="B29:M29" si="8">(B27)+(B28)</f>
        <v>51247.34</v>
      </c>
      <c r="C29" s="55">
        <f t="shared" si="8"/>
        <v>46435.67</v>
      </c>
      <c r="D29" s="55">
        <f t="shared" si="8"/>
        <v>67432.960000000006</v>
      </c>
      <c r="E29" s="55">
        <f t="shared" si="8"/>
        <v>50836.420000000006</v>
      </c>
      <c r="F29" s="55">
        <f t="shared" si="8"/>
        <v>68031.290000000008</v>
      </c>
      <c r="G29" s="55">
        <f t="shared" si="8"/>
        <v>81559.87</v>
      </c>
      <c r="H29" s="55">
        <f t="shared" si="8"/>
        <v>84427.72</v>
      </c>
      <c r="I29" s="55">
        <f t="shared" si="8"/>
        <v>78022.990000000005</v>
      </c>
      <c r="J29" s="55">
        <f t="shared" si="8"/>
        <v>29145.26</v>
      </c>
      <c r="K29" s="55">
        <f t="shared" si="8"/>
        <v>34714.449999999997</v>
      </c>
      <c r="L29" s="56">
        <f t="shared" si="8"/>
        <v>41221.67</v>
      </c>
      <c r="M29" s="55">
        <f t="shared" si="8"/>
        <v>5427.89</v>
      </c>
      <c r="N29" s="55">
        <f t="shared" si="6"/>
        <v>638503.53</v>
      </c>
      <c r="P29" s="59">
        <f t="shared" si="1"/>
        <v>53804.906363636364</v>
      </c>
    </row>
    <row r="30" spans="1:16" x14ac:dyDescent="0.2">
      <c r="A30" s="54" t="s">
        <v>100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3"/>
      <c r="M30" s="52"/>
      <c r="N30" s="57">
        <f t="shared" si="6"/>
        <v>0</v>
      </c>
      <c r="P30" s="59">
        <f t="shared" si="1"/>
        <v>0</v>
      </c>
    </row>
    <row r="31" spans="1:16" x14ac:dyDescent="0.2">
      <c r="A31" s="54" t="s">
        <v>99</v>
      </c>
      <c r="B31" s="57">
        <f>25</f>
        <v>25</v>
      </c>
      <c r="C31" s="52"/>
      <c r="D31" s="57">
        <f>50</f>
        <v>50</v>
      </c>
      <c r="E31" s="57">
        <f>50</f>
        <v>50</v>
      </c>
      <c r="F31" s="57">
        <f>65</f>
        <v>65</v>
      </c>
      <c r="G31" s="57">
        <f>160</f>
        <v>160</v>
      </c>
      <c r="H31" s="57">
        <f>240</f>
        <v>240</v>
      </c>
      <c r="I31" s="57">
        <f>505</f>
        <v>505</v>
      </c>
      <c r="J31" s="57">
        <f>120</f>
        <v>120</v>
      </c>
      <c r="K31" s="57">
        <f>120</f>
        <v>120</v>
      </c>
      <c r="L31" s="58">
        <f>280</f>
        <v>280</v>
      </c>
      <c r="M31" s="52"/>
      <c r="N31" s="57">
        <f t="shared" si="6"/>
        <v>1615</v>
      </c>
      <c r="P31" s="59">
        <f t="shared" si="1"/>
        <v>121.36363636363636</v>
      </c>
    </row>
    <row r="32" spans="1:16" x14ac:dyDescent="0.2">
      <c r="A32" s="54" t="s">
        <v>72</v>
      </c>
      <c r="B32" s="55">
        <f t="shared" ref="B32:M32" si="9">(B30)+(B31)</f>
        <v>25</v>
      </c>
      <c r="C32" s="55">
        <f t="shared" si="9"/>
        <v>0</v>
      </c>
      <c r="D32" s="55">
        <f t="shared" si="9"/>
        <v>50</v>
      </c>
      <c r="E32" s="55">
        <f t="shared" si="9"/>
        <v>50</v>
      </c>
      <c r="F32" s="55">
        <f t="shared" si="9"/>
        <v>65</v>
      </c>
      <c r="G32" s="55">
        <f t="shared" si="9"/>
        <v>160</v>
      </c>
      <c r="H32" s="55">
        <f t="shared" si="9"/>
        <v>240</v>
      </c>
      <c r="I32" s="55">
        <f t="shared" si="9"/>
        <v>505</v>
      </c>
      <c r="J32" s="55">
        <f t="shared" si="9"/>
        <v>120</v>
      </c>
      <c r="K32" s="55">
        <f t="shared" si="9"/>
        <v>120</v>
      </c>
      <c r="L32" s="56">
        <f t="shared" si="9"/>
        <v>280</v>
      </c>
      <c r="M32" s="55">
        <f t="shared" si="9"/>
        <v>0</v>
      </c>
      <c r="N32" s="55">
        <f t="shared" si="6"/>
        <v>1615</v>
      </c>
      <c r="P32" s="59">
        <f t="shared" si="1"/>
        <v>121.36363636363636</v>
      </c>
    </row>
    <row r="33" spans="1:16" x14ac:dyDescent="0.2">
      <c r="A33" s="54" t="s">
        <v>98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3"/>
      <c r="M33" s="52"/>
      <c r="N33" s="57">
        <f t="shared" si="6"/>
        <v>0</v>
      </c>
      <c r="P33" s="59">
        <f t="shared" si="1"/>
        <v>0</v>
      </c>
    </row>
    <row r="34" spans="1:16" x14ac:dyDescent="0.2">
      <c r="A34" s="54" t="s">
        <v>97</v>
      </c>
      <c r="B34" s="52"/>
      <c r="C34" s="52"/>
      <c r="D34" s="52"/>
      <c r="E34" s="52"/>
      <c r="F34" s="52"/>
      <c r="G34" s="52"/>
      <c r="H34" s="52"/>
      <c r="I34" s="57">
        <f>1800</f>
        <v>1800</v>
      </c>
      <c r="J34" s="57">
        <f>1800</f>
        <v>1800</v>
      </c>
      <c r="K34" s="57">
        <f>1800</f>
        <v>1800</v>
      </c>
      <c r="L34" s="58">
        <f>1800</f>
        <v>1800</v>
      </c>
      <c r="M34" s="52"/>
      <c r="N34" s="57">
        <f t="shared" si="6"/>
        <v>7200</v>
      </c>
      <c r="P34" s="59">
        <f t="shared" si="1"/>
        <v>490.90909090909093</v>
      </c>
    </row>
    <row r="35" spans="1:16" x14ac:dyDescent="0.2">
      <c r="A35" s="54" t="s">
        <v>58</v>
      </c>
      <c r="B35" s="55">
        <f t="shared" ref="B35:M35" si="10">(B33)+(B34)</f>
        <v>0</v>
      </c>
      <c r="C35" s="55">
        <f t="shared" si="10"/>
        <v>0</v>
      </c>
      <c r="D35" s="55">
        <f t="shared" si="10"/>
        <v>0</v>
      </c>
      <c r="E35" s="55">
        <f t="shared" si="10"/>
        <v>0</v>
      </c>
      <c r="F35" s="55">
        <f t="shared" si="10"/>
        <v>0</v>
      </c>
      <c r="G35" s="55">
        <f t="shared" si="10"/>
        <v>0</v>
      </c>
      <c r="H35" s="55">
        <f t="shared" si="10"/>
        <v>0</v>
      </c>
      <c r="I35" s="55">
        <f t="shared" si="10"/>
        <v>1800</v>
      </c>
      <c r="J35" s="55">
        <f t="shared" si="10"/>
        <v>1800</v>
      </c>
      <c r="K35" s="55">
        <f t="shared" si="10"/>
        <v>1800</v>
      </c>
      <c r="L35" s="56">
        <f t="shared" si="10"/>
        <v>1800</v>
      </c>
      <c r="M35" s="55">
        <f t="shared" si="10"/>
        <v>0</v>
      </c>
      <c r="N35" s="55">
        <f t="shared" si="6"/>
        <v>7200</v>
      </c>
      <c r="P35" s="59">
        <f t="shared" si="1"/>
        <v>490.90909090909093</v>
      </c>
    </row>
    <row r="36" spans="1:16" x14ac:dyDescent="0.2">
      <c r="A36" s="54" t="s">
        <v>96</v>
      </c>
      <c r="B36" s="57">
        <f>160.43</f>
        <v>160.43</v>
      </c>
      <c r="C36" s="52"/>
      <c r="D36" s="52"/>
      <c r="E36" s="57">
        <f>34.47</f>
        <v>34.47</v>
      </c>
      <c r="F36" s="52"/>
      <c r="G36" s="57">
        <f>14.39</f>
        <v>14.39</v>
      </c>
      <c r="H36" s="57">
        <f>26</f>
        <v>26</v>
      </c>
      <c r="I36" s="57">
        <f>14.7</f>
        <v>14.7</v>
      </c>
      <c r="J36" s="57">
        <f>47.54</f>
        <v>47.54</v>
      </c>
      <c r="K36" s="52"/>
      <c r="L36" s="53"/>
      <c r="M36" s="52"/>
      <c r="N36" s="57">
        <f t="shared" si="6"/>
        <v>297.53000000000003</v>
      </c>
      <c r="P36" s="59">
        <f t="shared" si="1"/>
        <v>27.048181818181821</v>
      </c>
    </row>
    <row r="37" spans="1:16" x14ac:dyDescent="0.2">
      <c r="A37" s="54" t="s">
        <v>95</v>
      </c>
      <c r="B37" s="52"/>
      <c r="C37" s="52"/>
      <c r="D37" s="57">
        <f>141.89</f>
        <v>141.88999999999999</v>
      </c>
      <c r="E37" s="57">
        <f>190.1</f>
        <v>190.1</v>
      </c>
      <c r="F37" s="52"/>
      <c r="G37" s="57">
        <f>210.79</f>
        <v>210.79</v>
      </c>
      <c r="H37" s="57">
        <f>216.84</f>
        <v>216.84</v>
      </c>
      <c r="I37" s="52"/>
      <c r="J37" s="52"/>
      <c r="K37" s="52"/>
      <c r="L37" s="53"/>
      <c r="M37" s="52"/>
      <c r="N37" s="57">
        <f t="shared" si="6"/>
        <v>759.62</v>
      </c>
      <c r="P37" s="59">
        <f t="shared" si="1"/>
        <v>69.056363636363642</v>
      </c>
    </row>
    <row r="38" spans="1:16" x14ac:dyDescent="0.2">
      <c r="A38" s="54" t="s">
        <v>94</v>
      </c>
      <c r="B38" s="57">
        <f>1780.44</f>
        <v>1780.44</v>
      </c>
      <c r="C38" s="57">
        <f>280.94</f>
        <v>280.94</v>
      </c>
      <c r="D38" s="57">
        <f>219.79</f>
        <v>219.79</v>
      </c>
      <c r="E38" s="57">
        <f>145.66</f>
        <v>145.66</v>
      </c>
      <c r="F38" s="57">
        <f>169.56</f>
        <v>169.56</v>
      </c>
      <c r="G38" s="57">
        <f>106.8</f>
        <v>106.8</v>
      </c>
      <c r="H38" s="57">
        <f>387.56</f>
        <v>387.56</v>
      </c>
      <c r="I38" s="57">
        <f>453.29</f>
        <v>453.29</v>
      </c>
      <c r="J38" s="57">
        <f>389.7</f>
        <v>389.7</v>
      </c>
      <c r="K38" s="57">
        <f>499.47</f>
        <v>499.47</v>
      </c>
      <c r="L38" s="58">
        <f>245.5</f>
        <v>245.5</v>
      </c>
      <c r="M38" s="57">
        <f>23.94</f>
        <v>23.94</v>
      </c>
      <c r="N38" s="57">
        <f t="shared" si="6"/>
        <v>4702.6499999999996</v>
      </c>
      <c r="P38" s="59">
        <f t="shared" si="1"/>
        <v>403.01909090909089</v>
      </c>
    </row>
    <row r="39" spans="1:16" x14ac:dyDescent="0.2">
      <c r="A39" s="54" t="s">
        <v>93</v>
      </c>
      <c r="B39" s="57">
        <f>57.15</f>
        <v>57.15</v>
      </c>
      <c r="C39" s="57">
        <f>20.68</f>
        <v>20.68</v>
      </c>
      <c r="D39" s="52"/>
      <c r="E39" s="52"/>
      <c r="F39" s="52"/>
      <c r="G39" s="52"/>
      <c r="H39" s="52"/>
      <c r="I39" s="52"/>
      <c r="J39" s="52"/>
      <c r="K39" s="52"/>
      <c r="L39" s="53"/>
      <c r="M39" s="52"/>
      <c r="N39" s="57">
        <f t="shared" si="6"/>
        <v>77.83</v>
      </c>
      <c r="P39" s="59">
        <f t="shared" si="1"/>
        <v>7.0754545454545452</v>
      </c>
    </row>
    <row r="40" spans="1:16" x14ac:dyDescent="0.2">
      <c r="A40" s="54" t="s">
        <v>92</v>
      </c>
      <c r="B40" s="55">
        <f t="shared" ref="B40:M40" si="11">(((B36)+(B37))+(B38))+(B39)</f>
        <v>1998.0200000000002</v>
      </c>
      <c r="C40" s="55">
        <f t="shared" si="11"/>
        <v>301.62</v>
      </c>
      <c r="D40" s="55">
        <f t="shared" si="11"/>
        <v>361.67999999999995</v>
      </c>
      <c r="E40" s="55">
        <f t="shared" si="11"/>
        <v>370.23</v>
      </c>
      <c r="F40" s="55">
        <f t="shared" si="11"/>
        <v>169.56</v>
      </c>
      <c r="G40" s="55">
        <f t="shared" si="11"/>
        <v>331.98</v>
      </c>
      <c r="H40" s="55">
        <f t="shared" si="11"/>
        <v>630.4</v>
      </c>
      <c r="I40" s="55">
        <f t="shared" si="11"/>
        <v>467.99</v>
      </c>
      <c r="J40" s="55">
        <f t="shared" si="11"/>
        <v>437.24</v>
      </c>
      <c r="K40" s="55">
        <f t="shared" si="11"/>
        <v>499.47</v>
      </c>
      <c r="L40" s="56">
        <f t="shared" si="11"/>
        <v>245.5</v>
      </c>
      <c r="M40" s="55">
        <f t="shared" si="11"/>
        <v>23.94</v>
      </c>
      <c r="N40" s="55">
        <f t="shared" si="6"/>
        <v>5837.6299999999992</v>
      </c>
      <c r="P40" s="59">
        <f t="shared" si="1"/>
        <v>506.1990909090909</v>
      </c>
    </row>
    <row r="41" spans="1:16" x14ac:dyDescent="0.2">
      <c r="A41" s="54" t="s">
        <v>91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3"/>
      <c r="M41" s="52"/>
      <c r="N41" s="57">
        <f t="shared" si="6"/>
        <v>0</v>
      </c>
      <c r="P41" s="59">
        <f t="shared" si="1"/>
        <v>0</v>
      </c>
    </row>
    <row r="42" spans="1:16" x14ac:dyDescent="0.2">
      <c r="A42" s="54" t="s">
        <v>54</v>
      </c>
      <c r="B42" s="57">
        <f>444.09</f>
        <v>444.09</v>
      </c>
      <c r="C42" s="57">
        <f>790.84</f>
        <v>790.84</v>
      </c>
      <c r="D42" s="57">
        <f>1110.01</f>
        <v>1110.01</v>
      </c>
      <c r="E42" s="57">
        <f>1595.33</f>
        <v>1595.33</v>
      </c>
      <c r="F42" s="57">
        <f>1970.52</f>
        <v>1970.52</v>
      </c>
      <c r="G42" s="57">
        <f>2384.4</f>
        <v>2384.4</v>
      </c>
      <c r="H42" s="57">
        <f>2400.5</f>
        <v>2400.5</v>
      </c>
      <c r="I42" s="57">
        <f>4691.39</f>
        <v>4691.3900000000003</v>
      </c>
      <c r="J42" s="57">
        <f>3233.65</f>
        <v>3233.65</v>
      </c>
      <c r="K42" s="57">
        <f>5776.56</f>
        <v>5776.56</v>
      </c>
      <c r="L42" s="58">
        <f>4477.18</f>
        <v>4477.18</v>
      </c>
      <c r="M42" s="57">
        <f>793.9</f>
        <v>793.9</v>
      </c>
      <c r="N42" s="57">
        <f t="shared" si="6"/>
        <v>29668.370000000006</v>
      </c>
      <c r="P42" s="59">
        <f t="shared" si="1"/>
        <v>2217.9354545454548</v>
      </c>
    </row>
    <row r="43" spans="1:16" x14ac:dyDescent="0.2">
      <c r="A43" s="54" t="s">
        <v>55</v>
      </c>
      <c r="B43" s="57">
        <f>21.47</f>
        <v>21.47</v>
      </c>
      <c r="C43" s="57">
        <f>85.88</f>
        <v>85.88</v>
      </c>
      <c r="D43" s="57">
        <f>85.88</f>
        <v>85.88</v>
      </c>
      <c r="E43" s="57">
        <f>85.88</f>
        <v>85.88</v>
      </c>
      <c r="F43" s="52"/>
      <c r="G43" s="57">
        <f>85.88</f>
        <v>85.88</v>
      </c>
      <c r="H43" s="57">
        <f>21.47</f>
        <v>21.47</v>
      </c>
      <c r="I43" s="57">
        <f>85.88</f>
        <v>85.88</v>
      </c>
      <c r="J43" s="57">
        <f>85.88</f>
        <v>85.88</v>
      </c>
      <c r="K43" s="57">
        <f>85.88</f>
        <v>85.88</v>
      </c>
      <c r="L43" s="58">
        <f>237.99</f>
        <v>237.99</v>
      </c>
      <c r="M43" s="52"/>
      <c r="N43" s="57">
        <f t="shared" si="6"/>
        <v>882.09</v>
      </c>
      <c r="P43" s="59">
        <f t="shared" si="1"/>
        <v>58.554545454545455</v>
      </c>
    </row>
    <row r="44" spans="1:16" x14ac:dyDescent="0.2">
      <c r="A44" s="54" t="s">
        <v>90</v>
      </c>
      <c r="B44" s="55">
        <f t="shared" ref="B44:M44" si="12">(B42)+(B43)</f>
        <v>465.55999999999995</v>
      </c>
      <c r="C44" s="55">
        <f t="shared" si="12"/>
        <v>876.72</v>
      </c>
      <c r="D44" s="55">
        <f t="shared" si="12"/>
        <v>1195.8899999999999</v>
      </c>
      <c r="E44" s="55">
        <f t="shared" si="12"/>
        <v>1681.21</v>
      </c>
      <c r="F44" s="55">
        <f t="shared" si="12"/>
        <v>1970.52</v>
      </c>
      <c r="G44" s="55">
        <f t="shared" si="12"/>
        <v>2470.2800000000002</v>
      </c>
      <c r="H44" s="55">
        <f t="shared" si="12"/>
        <v>2421.9699999999998</v>
      </c>
      <c r="I44" s="55">
        <f t="shared" si="12"/>
        <v>4777.2700000000004</v>
      </c>
      <c r="J44" s="55">
        <f t="shared" si="12"/>
        <v>3319.53</v>
      </c>
      <c r="K44" s="55">
        <f t="shared" si="12"/>
        <v>5862.4400000000005</v>
      </c>
      <c r="L44" s="56">
        <f t="shared" si="12"/>
        <v>4715.17</v>
      </c>
      <c r="M44" s="55">
        <f t="shared" si="12"/>
        <v>793.9</v>
      </c>
      <c r="N44" s="55">
        <f t="shared" si="6"/>
        <v>30550.46</v>
      </c>
      <c r="P44" s="59">
        <f t="shared" si="1"/>
        <v>2276.4899999999998</v>
      </c>
    </row>
    <row r="45" spans="1:16" x14ac:dyDescent="0.2">
      <c r="A45" s="54" t="s">
        <v>89</v>
      </c>
      <c r="B45" s="55">
        <f t="shared" ref="B45:M45" si="13">(B41)+(B44)</f>
        <v>465.55999999999995</v>
      </c>
      <c r="C45" s="55">
        <f t="shared" si="13"/>
        <v>876.72</v>
      </c>
      <c r="D45" s="55">
        <f t="shared" si="13"/>
        <v>1195.8899999999999</v>
      </c>
      <c r="E45" s="55">
        <f t="shared" si="13"/>
        <v>1681.21</v>
      </c>
      <c r="F45" s="55">
        <f t="shared" si="13"/>
        <v>1970.52</v>
      </c>
      <c r="G45" s="55">
        <f t="shared" si="13"/>
        <v>2470.2800000000002</v>
      </c>
      <c r="H45" s="55">
        <f t="shared" si="13"/>
        <v>2421.9699999999998</v>
      </c>
      <c r="I45" s="55">
        <f t="shared" si="13"/>
        <v>4777.2700000000004</v>
      </c>
      <c r="J45" s="55">
        <f t="shared" si="13"/>
        <v>3319.53</v>
      </c>
      <c r="K45" s="55">
        <f t="shared" si="13"/>
        <v>5862.4400000000005</v>
      </c>
      <c r="L45" s="56">
        <f t="shared" si="13"/>
        <v>4715.17</v>
      </c>
      <c r="M45" s="55">
        <f t="shared" si="13"/>
        <v>793.9</v>
      </c>
      <c r="N45" s="55">
        <f t="shared" si="6"/>
        <v>30550.46</v>
      </c>
      <c r="P45" s="59">
        <f t="shared" si="1"/>
        <v>2276.4899999999998</v>
      </c>
    </row>
    <row r="46" spans="1:16" x14ac:dyDescent="0.2">
      <c r="A46" s="54" t="s">
        <v>88</v>
      </c>
      <c r="B46" s="57">
        <f>1093.56</f>
        <v>1093.56</v>
      </c>
      <c r="C46" s="52"/>
      <c r="D46" s="52"/>
      <c r="E46" s="57">
        <f>398.79</f>
        <v>398.79</v>
      </c>
      <c r="F46" s="52"/>
      <c r="G46" s="52"/>
      <c r="H46" s="52"/>
      <c r="I46" s="52"/>
      <c r="J46" s="52"/>
      <c r="K46" s="52"/>
      <c r="L46" s="53"/>
      <c r="M46" s="52"/>
      <c r="N46" s="57">
        <f t="shared" si="6"/>
        <v>1492.35</v>
      </c>
      <c r="P46" s="59">
        <f t="shared" si="1"/>
        <v>135.66818181818181</v>
      </c>
    </row>
    <row r="47" spans="1:16" x14ac:dyDescent="0.2">
      <c r="A47" s="54" t="s">
        <v>87</v>
      </c>
      <c r="B47" s="57">
        <f>198.2</f>
        <v>198.2</v>
      </c>
      <c r="C47" s="52"/>
      <c r="D47" s="52"/>
      <c r="E47" s="52"/>
      <c r="F47" s="52"/>
      <c r="G47" s="52"/>
      <c r="H47" s="52"/>
      <c r="I47" s="52"/>
      <c r="J47" s="52"/>
      <c r="K47" s="52"/>
      <c r="L47" s="53"/>
      <c r="M47" s="52"/>
      <c r="N47" s="57">
        <f t="shared" si="6"/>
        <v>198.2</v>
      </c>
      <c r="P47" s="59">
        <f t="shared" si="1"/>
        <v>18.018181818181816</v>
      </c>
    </row>
    <row r="48" spans="1:16" x14ac:dyDescent="0.2">
      <c r="A48" s="54" t="s">
        <v>86</v>
      </c>
      <c r="B48" s="57">
        <f>1124.41</f>
        <v>1124.4100000000001</v>
      </c>
      <c r="C48" s="52"/>
      <c r="D48" s="52"/>
      <c r="E48" s="57">
        <f>755.1</f>
        <v>755.1</v>
      </c>
      <c r="F48" s="52"/>
      <c r="G48" s="52"/>
      <c r="H48" s="52"/>
      <c r="I48" s="52"/>
      <c r="J48" s="52"/>
      <c r="K48" s="52"/>
      <c r="L48" s="53"/>
      <c r="M48" s="52"/>
      <c r="N48" s="57">
        <f t="shared" si="6"/>
        <v>1879.5100000000002</v>
      </c>
      <c r="P48" s="59">
        <f t="shared" si="1"/>
        <v>170.86454545454546</v>
      </c>
    </row>
    <row r="49" spans="1:16" x14ac:dyDescent="0.2">
      <c r="A49" s="54" t="s">
        <v>85</v>
      </c>
      <c r="B49" s="55">
        <f t="shared" ref="B49:M49" si="14">((B46)+(B47))+(B48)</f>
        <v>2416.17</v>
      </c>
      <c r="C49" s="55">
        <f t="shared" si="14"/>
        <v>0</v>
      </c>
      <c r="D49" s="55">
        <f t="shared" si="14"/>
        <v>0</v>
      </c>
      <c r="E49" s="55">
        <f t="shared" si="14"/>
        <v>1153.8900000000001</v>
      </c>
      <c r="F49" s="55">
        <f t="shared" si="14"/>
        <v>0</v>
      </c>
      <c r="G49" s="55">
        <f t="shared" si="14"/>
        <v>0</v>
      </c>
      <c r="H49" s="55">
        <f t="shared" si="14"/>
        <v>0</v>
      </c>
      <c r="I49" s="55">
        <f t="shared" si="14"/>
        <v>0</v>
      </c>
      <c r="J49" s="55">
        <f t="shared" si="14"/>
        <v>0</v>
      </c>
      <c r="K49" s="55">
        <f t="shared" si="14"/>
        <v>0</v>
      </c>
      <c r="L49" s="56">
        <f t="shared" si="14"/>
        <v>0</v>
      </c>
      <c r="M49" s="55">
        <f t="shared" si="14"/>
        <v>0</v>
      </c>
      <c r="N49" s="55">
        <f t="shared" si="6"/>
        <v>3570.0600000000004</v>
      </c>
      <c r="P49" s="59">
        <f t="shared" si="1"/>
        <v>324.5509090909091</v>
      </c>
    </row>
    <row r="50" spans="1:16" x14ac:dyDescent="0.2">
      <c r="A50" s="54" t="s">
        <v>84</v>
      </c>
      <c r="B50" s="55">
        <f t="shared" ref="B50:M50" si="15">((((((B26)+(B29))+(B32))+(B35))+(B40))+(B45))+(B49)</f>
        <v>59551.709999999992</v>
      </c>
      <c r="C50" s="55">
        <f t="shared" si="15"/>
        <v>47961.33</v>
      </c>
      <c r="D50" s="55">
        <f t="shared" si="15"/>
        <v>70927.69</v>
      </c>
      <c r="E50" s="55">
        <f t="shared" si="15"/>
        <v>58282.430000000008</v>
      </c>
      <c r="F50" s="55">
        <f t="shared" si="15"/>
        <v>71433.500000000015</v>
      </c>
      <c r="G50" s="55">
        <f t="shared" si="15"/>
        <v>85711.529999999984</v>
      </c>
      <c r="H50" s="55">
        <f t="shared" si="15"/>
        <v>88928.76</v>
      </c>
      <c r="I50" s="55">
        <f t="shared" si="15"/>
        <v>85803.630000000019</v>
      </c>
      <c r="J50" s="55">
        <f t="shared" si="15"/>
        <v>34863.15</v>
      </c>
      <c r="K50" s="55">
        <f t="shared" si="15"/>
        <v>43844.800000000003</v>
      </c>
      <c r="L50" s="56">
        <f t="shared" si="15"/>
        <v>49182.359999999993</v>
      </c>
      <c r="M50" s="55">
        <f t="shared" si="15"/>
        <v>6245.73</v>
      </c>
      <c r="N50" s="55">
        <f t="shared" si="6"/>
        <v>702736.62</v>
      </c>
      <c r="P50" s="59">
        <f t="shared" si="1"/>
        <v>58846.23</v>
      </c>
    </row>
    <row r="51" spans="1:16" x14ac:dyDescent="0.2">
      <c r="A51" s="54" t="s">
        <v>50</v>
      </c>
      <c r="B51" s="55">
        <f t="shared" ref="B51:M51" si="16">(B18)-(B50)</f>
        <v>-61112.419999999991</v>
      </c>
      <c r="C51" s="55">
        <f t="shared" si="16"/>
        <v>-49304.69</v>
      </c>
      <c r="D51" s="55">
        <f t="shared" si="16"/>
        <v>-73798.320000000007</v>
      </c>
      <c r="E51" s="55">
        <f t="shared" si="16"/>
        <v>-59734.650000000009</v>
      </c>
      <c r="F51" s="55">
        <f t="shared" si="16"/>
        <v>-81734.250000000015</v>
      </c>
      <c r="G51" s="55">
        <f t="shared" si="16"/>
        <v>-90226.479999999981</v>
      </c>
      <c r="H51" s="55">
        <f t="shared" si="16"/>
        <v>-96711.22</v>
      </c>
      <c r="I51" s="55">
        <f t="shared" si="16"/>
        <v>-91616.230000000025</v>
      </c>
      <c r="J51" s="55">
        <f t="shared" si="16"/>
        <v>-35169.880000000005</v>
      </c>
      <c r="K51" s="55">
        <f t="shared" si="16"/>
        <v>-46016.060000000005</v>
      </c>
      <c r="L51" s="56">
        <f t="shared" si="16"/>
        <v>-49285.849999999991</v>
      </c>
      <c r="M51" s="55">
        <f t="shared" si="16"/>
        <v>-2976.0999999999995</v>
      </c>
      <c r="N51" s="55">
        <f t="shared" si="6"/>
        <v>-737686.15</v>
      </c>
      <c r="P51" s="59">
        <f t="shared" si="1"/>
        <v>-62311.290909090916</v>
      </c>
    </row>
    <row r="52" spans="1:16" x14ac:dyDescent="0.2">
      <c r="A52" s="54" t="s">
        <v>83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3"/>
      <c r="M52" s="52"/>
      <c r="N52" s="52"/>
    </row>
    <row r="53" spans="1:16" x14ac:dyDescent="0.2">
      <c r="A53" s="54" t="s">
        <v>82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3"/>
      <c r="M53" s="52"/>
      <c r="N53" s="57">
        <f t="shared" ref="N53:N59" si="17">(((((((((((B53)+(C53))+(D53))+(E53))+(F53))+(G53))+(H53))+(I53))+(J53))+(K53))+(L53))+(M53)</f>
        <v>0</v>
      </c>
    </row>
    <row r="54" spans="1:16" x14ac:dyDescent="0.2">
      <c r="A54" s="54" t="s">
        <v>81</v>
      </c>
      <c r="B54" s="57">
        <f>210</f>
        <v>210</v>
      </c>
      <c r="C54" s="52"/>
      <c r="D54" s="52"/>
      <c r="E54" s="57">
        <f>105</f>
        <v>105</v>
      </c>
      <c r="F54" s="52"/>
      <c r="G54" s="52"/>
      <c r="H54" s="52"/>
      <c r="I54" s="52"/>
      <c r="J54" s="52"/>
      <c r="K54" s="52"/>
      <c r="L54" s="53"/>
      <c r="M54" s="52"/>
      <c r="N54" s="57">
        <f t="shared" si="17"/>
        <v>315</v>
      </c>
    </row>
    <row r="55" spans="1:16" x14ac:dyDescent="0.2">
      <c r="A55" s="54" t="s">
        <v>80</v>
      </c>
      <c r="B55" s="57">
        <f>36.34</f>
        <v>36.340000000000003</v>
      </c>
      <c r="C55" s="57">
        <f>10.3</f>
        <v>10.3</v>
      </c>
      <c r="D55" s="57">
        <f>17.8</f>
        <v>17.8</v>
      </c>
      <c r="E55" s="57">
        <f>13.55</f>
        <v>13.55</v>
      </c>
      <c r="F55" s="57">
        <f>36.76</f>
        <v>36.76</v>
      </c>
      <c r="G55" s="57">
        <f>5.75</f>
        <v>5.75</v>
      </c>
      <c r="H55" s="57">
        <f>39.28</f>
        <v>39.28</v>
      </c>
      <c r="I55" s="57">
        <f>27.48</f>
        <v>27.48</v>
      </c>
      <c r="J55" s="57">
        <f>80.18</f>
        <v>80.180000000000007</v>
      </c>
      <c r="K55" s="57">
        <f>66.44</f>
        <v>66.44</v>
      </c>
      <c r="L55" s="58">
        <f>80.89</f>
        <v>80.89</v>
      </c>
      <c r="M55" s="52"/>
      <c r="N55" s="57">
        <f t="shared" si="17"/>
        <v>414.77</v>
      </c>
    </row>
    <row r="56" spans="1:16" x14ac:dyDescent="0.2">
      <c r="A56" s="54" t="s">
        <v>79</v>
      </c>
      <c r="B56" s="55">
        <f t="shared" ref="B56:M56" si="18">((B53)+(B54))+(B55)</f>
        <v>246.34</v>
      </c>
      <c r="C56" s="55">
        <f t="shared" si="18"/>
        <v>10.3</v>
      </c>
      <c r="D56" s="55">
        <f t="shared" si="18"/>
        <v>17.8</v>
      </c>
      <c r="E56" s="55">
        <f t="shared" si="18"/>
        <v>118.55</v>
      </c>
      <c r="F56" s="55">
        <f t="shared" si="18"/>
        <v>36.76</v>
      </c>
      <c r="G56" s="55">
        <f t="shared" si="18"/>
        <v>5.75</v>
      </c>
      <c r="H56" s="55">
        <f t="shared" si="18"/>
        <v>39.28</v>
      </c>
      <c r="I56" s="55">
        <f t="shared" si="18"/>
        <v>27.48</v>
      </c>
      <c r="J56" s="55">
        <f t="shared" si="18"/>
        <v>80.180000000000007</v>
      </c>
      <c r="K56" s="55">
        <f t="shared" si="18"/>
        <v>66.44</v>
      </c>
      <c r="L56" s="56">
        <f t="shared" si="18"/>
        <v>80.89</v>
      </c>
      <c r="M56" s="55">
        <f t="shared" si="18"/>
        <v>0</v>
      </c>
      <c r="N56" s="55">
        <f t="shared" si="17"/>
        <v>729.7700000000001</v>
      </c>
    </row>
    <row r="57" spans="1:16" x14ac:dyDescent="0.2">
      <c r="A57" s="54" t="s">
        <v>78</v>
      </c>
      <c r="B57" s="55">
        <f t="shared" ref="B57:M57" si="19">B56</f>
        <v>246.34</v>
      </c>
      <c r="C57" s="55">
        <f t="shared" si="19"/>
        <v>10.3</v>
      </c>
      <c r="D57" s="55">
        <f t="shared" si="19"/>
        <v>17.8</v>
      </c>
      <c r="E57" s="55">
        <f t="shared" si="19"/>
        <v>118.55</v>
      </c>
      <c r="F57" s="55">
        <f t="shared" si="19"/>
        <v>36.76</v>
      </c>
      <c r="G57" s="55">
        <f t="shared" si="19"/>
        <v>5.75</v>
      </c>
      <c r="H57" s="55">
        <f t="shared" si="19"/>
        <v>39.28</v>
      </c>
      <c r="I57" s="55">
        <f t="shared" si="19"/>
        <v>27.48</v>
      </c>
      <c r="J57" s="55">
        <f t="shared" si="19"/>
        <v>80.180000000000007</v>
      </c>
      <c r="K57" s="55">
        <f t="shared" si="19"/>
        <v>66.44</v>
      </c>
      <c r="L57" s="56">
        <f t="shared" si="19"/>
        <v>80.89</v>
      </c>
      <c r="M57" s="55">
        <f t="shared" si="19"/>
        <v>0</v>
      </c>
      <c r="N57" s="55">
        <f t="shared" si="17"/>
        <v>729.7700000000001</v>
      </c>
    </row>
    <row r="58" spans="1:16" x14ac:dyDescent="0.2">
      <c r="A58" s="54" t="s">
        <v>77</v>
      </c>
      <c r="B58" s="55">
        <f t="shared" ref="B58:M58" si="20">(0)-(B57)</f>
        <v>-246.34</v>
      </c>
      <c r="C58" s="55">
        <f t="shared" si="20"/>
        <v>-10.3</v>
      </c>
      <c r="D58" s="55">
        <f t="shared" si="20"/>
        <v>-17.8</v>
      </c>
      <c r="E58" s="55">
        <f t="shared" si="20"/>
        <v>-118.55</v>
      </c>
      <c r="F58" s="55">
        <f t="shared" si="20"/>
        <v>-36.76</v>
      </c>
      <c r="G58" s="55">
        <f t="shared" si="20"/>
        <v>-5.75</v>
      </c>
      <c r="H58" s="55">
        <f t="shared" si="20"/>
        <v>-39.28</v>
      </c>
      <c r="I58" s="55">
        <f t="shared" si="20"/>
        <v>-27.48</v>
      </c>
      <c r="J58" s="55">
        <f t="shared" si="20"/>
        <v>-80.180000000000007</v>
      </c>
      <c r="K58" s="55">
        <f t="shared" si="20"/>
        <v>-66.44</v>
      </c>
      <c r="L58" s="56">
        <f t="shared" si="20"/>
        <v>-80.89</v>
      </c>
      <c r="M58" s="55">
        <f t="shared" si="20"/>
        <v>0</v>
      </c>
      <c r="N58" s="55">
        <f t="shared" si="17"/>
        <v>-729.7700000000001</v>
      </c>
    </row>
    <row r="59" spans="1:16" x14ac:dyDescent="0.2">
      <c r="A59" s="54" t="s">
        <v>76</v>
      </c>
      <c r="B59" s="55">
        <f t="shared" ref="B59:M59" si="21">(B51)+(B58)</f>
        <v>-61358.759999999987</v>
      </c>
      <c r="C59" s="55">
        <f t="shared" si="21"/>
        <v>-49314.990000000005</v>
      </c>
      <c r="D59" s="55">
        <f t="shared" si="21"/>
        <v>-73816.12000000001</v>
      </c>
      <c r="E59" s="55">
        <f t="shared" si="21"/>
        <v>-59853.200000000012</v>
      </c>
      <c r="F59" s="55">
        <f t="shared" si="21"/>
        <v>-81771.010000000009</v>
      </c>
      <c r="G59" s="55">
        <f t="shared" si="21"/>
        <v>-90232.229999999981</v>
      </c>
      <c r="H59" s="55">
        <f t="shared" si="21"/>
        <v>-96750.5</v>
      </c>
      <c r="I59" s="55">
        <f t="shared" si="21"/>
        <v>-91643.710000000021</v>
      </c>
      <c r="J59" s="55">
        <f t="shared" si="21"/>
        <v>-35250.060000000005</v>
      </c>
      <c r="K59" s="55">
        <f t="shared" si="21"/>
        <v>-46082.500000000007</v>
      </c>
      <c r="L59" s="56">
        <f t="shared" si="21"/>
        <v>-49366.739999999991</v>
      </c>
      <c r="M59" s="55">
        <f t="shared" si="21"/>
        <v>-2976.0999999999995</v>
      </c>
      <c r="N59" s="55">
        <f t="shared" si="17"/>
        <v>-738415.92</v>
      </c>
    </row>
    <row r="60" spans="1:16" x14ac:dyDescent="0.2">
      <c r="A60" s="54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3"/>
      <c r="M60" s="52"/>
      <c r="N60" s="52"/>
    </row>
    <row r="63" spans="1:16" x14ac:dyDescent="0.2">
      <c r="A63" s="83" t="s">
        <v>75</v>
      </c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</row>
  </sheetData>
  <mergeCells count="4">
    <mergeCell ref="A63:N63"/>
    <mergeCell ref="A1:N1"/>
    <mergeCell ref="A2:N2"/>
    <mergeCell ref="A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 Model</vt:lpstr>
      <vt:lpstr>Current Payroll</vt:lpstr>
      <vt:lpstr>Growth Analysis</vt:lpstr>
      <vt:lpstr>Sheet2</vt:lpstr>
      <vt:lpstr>Profit and Loss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Lee</dc:creator>
  <cp:keywords/>
  <dc:description/>
  <cp:lastModifiedBy>David Lee</cp:lastModifiedBy>
  <cp:revision/>
  <dcterms:created xsi:type="dcterms:W3CDTF">2019-07-29T00:23:49Z</dcterms:created>
  <dcterms:modified xsi:type="dcterms:W3CDTF">2025-08-13T16:52:49Z</dcterms:modified>
  <cp:category/>
  <cp:contentStatus/>
</cp:coreProperties>
</file>